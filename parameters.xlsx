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carlottalichtenauer/Documents/MOT/Thesis - Latex/Model/"/>
    </mc:Choice>
  </mc:AlternateContent>
  <xr:revisionPtr revIDLastSave="0" documentId="13_ncr:1_{D77BB2B0-77E0-ED47-8C52-A79CC2CCD094}" xr6:coauthVersionLast="47" xr6:coauthVersionMax="47" xr10:uidLastSave="{00000000-0000-0000-0000-000000000000}"/>
  <bookViews>
    <workbookView xWindow="0" yWindow="780" windowWidth="34200" windowHeight="20480" activeTab="7" xr2:uid="{00000000-000D-0000-FFFF-FFFF00000000}"/>
  </bookViews>
  <sheets>
    <sheet name="general" sheetId="1" r:id="rId1"/>
    <sheet name="follow_up" sheetId="2" r:id="rId2"/>
    <sheet name="costs" sheetId="3" r:id="rId3"/>
    <sheet name="utilities" sheetId="4" r:id="rId4"/>
    <sheet name="event_probs" sheetId="5" r:id="rId5"/>
    <sheet name="time" sheetId="9" r:id="rId6"/>
    <sheet name="scenarios" sheetId="6" r:id="rId7"/>
    <sheet name="sensitivity_analysis" sheetId="8" r:id="rId8"/>
    <sheet name="life_table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8" l="1"/>
  <c r="G4" i="8"/>
  <c r="G5" i="8"/>
  <c r="G6" i="8"/>
  <c r="G7" i="8"/>
  <c r="G8" i="8"/>
  <c r="G2" i="8"/>
  <c r="F3" i="8"/>
  <c r="F4" i="8"/>
  <c r="F5" i="8"/>
  <c r="F6" i="8"/>
  <c r="F7" i="8"/>
  <c r="F8" i="8"/>
  <c r="F2" i="8"/>
  <c r="G9" i="8"/>
  <c r="G10" i="8"/>
  <c r="G11" i="8"/>
  <c r="F9" i="8"/>
  <c r="F10" i="8"/>
  <c r="F11" i="8"/>
  <c r="E2" i="8"/>
  <c r="E3" i="8"/>
  <c r="E4" i="8"/>
  <c r="E5" i="8"/>
  <c r="E6" i="8"/>
  <c r="E7" i="8"/>
  <c r="E8" i="8"/>
  <c r="B41" i="7"/>
  <c r="B4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2" i="7"/>
  <c r="K2" i="7"/>
  <c r="G40" i="8"/>
  <c r="F40" i="8"/>
  <c r="F38" i="8"/>
  <c r="G38" i="8"/>
  <c r="E10" i="8"/>
  <c r="E11" i="8"/>
  <c r="E9" i="8"/>
  <c r="F37" i="8"/>
  <c r="G37" i="8"/>
  <c r="F36" i="8"/>
  <c r="G36" i="8"/>
  <c r="F23" i="8"/>
  <c r="G33" i="8"/>
  <c r="G34" i="8"/>
  <c r="G35" i="8"/>
  <c r="F33" i="8"/>
  <c r="F34" i="8"/>
  <c r="F35" i="8"/>
  <c r="G26" i="8"/>
  <c r="G27" i="8"/>
  <c r="G28" i="8"/>
  <c r="G29" i="8"/>
  <c r="G30" i="8"/>
  <c r="G31" i="8"/>
  <c r="G25" i="8"/>
  <c r="F26" i="8"/>
  <c r="F27" i="8"/>
  <c r="F28" i="8"/>
  <c r="F29" i="8"/>
  <c r="F30" i="8"/>
  <c r="F31" i="8"/>
  <c r="F25" i="8"/>
  <c r="G16" i="8"/>
  <c r="G17" i="8"/>
  <c r="G18" i="8"/>
  <c r="G19" i="8"/>
  <c r="G20" i="8"/>
  <c r="G21" i="8"/>
  <c r="G14" i="8"/>
  <c r="F15" i="8"/>
  <c r="F18" i="8"/>
  <c r="F19" i="8"/>
  <c r="F20" i="8"/>
  <c r="F21" i="8"/>
  <c r="F14" i="8"/>
  <c r="E72" i="2"/>
  <c r="D72" i="2"/>
  <c r="E126" i="2"/>
  <c r="D126" i="2"/>
  <c r="D115" i="2"/>
  <c r="D112" i="2"/>
  <c r="E13" i="2"/>
  <c r="E12" i="2"/>
  <c r="E11" i="2"/>
  <c r="E10" i="2"/>
  <c r="E9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<sst xmlns="http://schemas.openxmlformats.org/spreadsheetml/2006/main" count="568" uniqueCount="112">
  <si>
    <t>parameter</t>
  </si>
  <si>
    <t>c_FEVAR</t>
  </si>
  <si>
    <t>c_echo</t>
  </si>
  <si>
    <t>c_CT</t>
  </si>
  <si>
    <t>f_ct_expansion</t>
  </si>
  <si>
    <t>f_echo_stable</t>
  </si>
  <si>
    <t>f_echo_shrinking</t>
  </si>
  <si>
    <t>u_stable</t>
  </si>
  <si>
    <t>u_shrinking</t>
  </si>
  <si>
    <t>u_expansion</t>
  </si>
  <si>
    <t>u_rupture</t>
  </si>
  <si>
    <t>u_postleak</t>
  </si>
  <si>
    <t>u_osr</t>
  </si>
  <si>
    <t>u_dead</t>
  </si>
  <si>
    <t>u_age_decrement_per_year</t>
  </si>
  <si>
    <t>p_rupture_annual</t>
  </si>
  <si>
    <t>r_osr_conversion</t>
  </si>
  <si>
    <t>p_releak_annual</t>
  </si>
  <si>
    <t>value</t>
  </si>
  <si>
    <t>unit</t>
  </si>
  <si>
    <t>source</t>
  </si>
  <si>
    <t>start_age</t>
  </si>
  <si>
    <t>years</t>
  </si>
  <si>
    <t>horizon_age</t>
  </si>
  <si>
    <t>horizon_years_scenario</t>
  </si>
  <si>
    <t>use_scenario_horizon</t>
  </si>
  <si>
    <t>0/1</t>
  </si>
  <si>
    <t>disc_cost</t>
  </si>
  <si>
    <t>annual</t>
  </si>
  <si>
    <t>disc_qaly</t>
  </si>
  <si>
    <t>lambda_low</t>
  </si>
  <si>
    <t>EUR/QALY</t>
  </si>
  <si>
    <t>lambda_mid</t>
  </si>
  <si>
    <t>lambda_high</t>
  </si>
  <si>
    <t>lambda_base</t>
  </si>
  <si>
    <t>sens_base</t>
  </si>
  <si>
    <t>prob</t>
  </si>
  <si>
    <t>spec_base</t>
  </si>
  <si>
    <t>compliance</t>
  </si>
  <si>
    <t>price_spro</t>
  </si>
  <si>
    <t>EUR/patient</t>
  </si>
  <si>
    <t>extrapolate_leak</t>
  </si>
  <si>
    <t>ref_time_wouldleak_years</t>
  </si>
  <si>
    <t>Parameter</t>
  </si>
  <si>
    <t>surgery</t>
  </si>
  <si>
    <t>days</t>
  </si>
  <si>
    <t>note</t>
  </si>
  <si>
    <t>cum_value</t>
  </si>
  <si>
    <t>p_endoleak_cum</t>
  </si>
  <si>
    <t>Standard</t>
  </si>
  <si>
    <t>Endoanchor</t>
  </si>
  <si>
    <t>FEVAR</t>
  </si>
  <si>
    <t>p_perio</t>
  </si>
  <si>
    <t>OSR</t>
  </si>
  <si>
    <t>p_sac_shrinking</t>
  </si>
  <si>
    <t>state occupancy</t>
  </si>
  <si>
    <t>p_sac_stable</t>
  </si>
  <si>
    <t>p_sac_expanding</t>
  </si>
  <si>
    <t>p_reint_annual</t>
  </si>
  <si>
    <t>p_death_endo_annual</t>
  </si>
  <si>
    <t>EUR/scan</t>
  </si>
  <si>
    <t>scans/year</t>
  </si>
  <si>
    <t>annual prob</t>
  </si>
  <si>
    <t>per event</t>
  </si>
  <si>
    <t>scenario</t>
  </si>
  <si>
    <t>type</t>
  </si>
  <si>
    <t>destination</t>
  </si>
  <si>
    <t>pi_wouldleak</t>
  </si>
  <si>
    <t>Upgrading</t>
  </si>
  <si>
    <t>Downgrading</t>
  </si>
  <si>
    <t>age</t>
  </si>
  <si>
    <t>qx_annual</t>
  </si>
  <si>
    <t>sheet</t>
  </si>
  <si>
    <t>base_value</t>
  </si>
  <si>
    <t>distribution</t>
  </si>
  <si>
    <t>standard_error</t>
  </si>
  <si>
    <t>high</t>
  </si>
  <si>
    <t>include</t>
  </si>
  <si>
    <t>costs</t>
  </si>
  <si>
    <t>gamma</t>
  </si>
  <si>
    <t>utilities</t>
  </si>
  <si>
    <t>beta</t>
  </si>
  <si>
    <t>event_probs</t>
  </si>
  <si>
    <t>follow_up</t>
  </si>
  <si>
    <t>lnorm</t>
  </si>
  <si>
    <t>sens_floor</t>
  </si>
  <si>
    <t>spec_floor</t>
  </si>
  <si>
    <t>compliance_floor</t>
  </si>
  <si>
    <t>p_death_initial_OSR</t>
  </si>
  <si>
    <t>time of procedure</t>
  </si>
  <si>
    <t>minutes</t>
  </si>
  <si>
    <t>ICU stay</t>
  </si>
  <si>
    <t>Hospital stay</t>
  </si>
  <si>
    <t>c_operating_room</t>
  </si>
  <si>
    <t>EUR/Minute</t>
  </si>
  <si>
    <t>c_clinican</t>
  </si>
  <si>
    <t>c_ICU</t>
  </si>
  <si>
    <t>EUR/DAY</t>
  </si>
  <si>
    <t>c_hospital</t>
  </si>
  <si>
    <t>c_follow_up_appointment</t>
  </si>
  <si>
    <t>EUR</t>
  </si>
  <si>
    <t>c_endurant</t>
  </si>
  <si>
    <t>c_helifx</t>
  </si>
  <si>
    <t>OSR emergency</t>
  </si>
  <si>
    <t>EVAR emergency</t>
  </si>
  <si>
    <t>time</t>
  </si>
  <si>
    <t>low</t>
  </si>
  <si>
    <t>scenarios</t>
  </si>
  <si>
    <t>Mannen</t>
  </si>
  <si>
    <t>Vrouwen</t>
  </si>
  <si>
    <t>CBS AG2024 life table</t>
  </si>
  <si>
    <t>EUR/hour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</si>
</sst>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8"/>
      <color theme="0"/>
      <name val="Verdana"/>
      <family val="2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4" fontId="3" fillId="2" borderId="1" xfId="0" applyNumberFormat="1" applyFont="1" applyFill="1" applyBorder="1"/>
    <xf numFmtId="164" fontId="3" fillId="2" borderId="0" xfId="0" applyNumberFormat="1" applyFont="1" applyFill="1"/>
    <xf numFmtId="0" fontId="4" fillId="0" borderId="0" xfId="0" applyFont="1"/>
    <xf numFmtId="165" fontId="1" fillId="0" borderId="0" xfId="0" applyNumberFormat="1" applyFont="1"/>
    <xf numFmtId="165" fontId="3" fillId="2" borderId="1" xfId="0" applyNumberFormat="1" applyFont="1" applyFill="1" applyBorder="1"/>
    <xf numFmtId="165" fontId="0" fillId="0" borderId="0" xfId="0" applyNumberFormat="1"/>
    <xf numFmtId="2" fontId="1" fillId="0" borderId="0" xfId="0" applyNumberFormat="1" applyFont="1"/>
    <xf numFmtId="2" fontId="4" fillId="0" borderId="0" xfId="0" applyNumberFormat="1" applyFont="1"/>
    <xf numFmtId="2" fontId="3" fillId="2" borderId="1" xfId="0" applyNumberFormat="1" applyFont="1" applyFill="1" applyBorder="1"/>
    <xf numFmtId="2" fontId="3" fillId="2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>
      <selection activeCell="D1" sqref="D1:E1048576"/>
    </sheetView>
  </sheetViews>
  <sheetFormatPr baseColWidth="10" defaultColWidth="8.83203125" defaultRowHeight="15" x14ac:dyDescent="0.2"/>
  <cols>
    <col min="1" max="1" width="24" customWidth="1"/>
    <col min="2" max="3" width="14" customWidth="1"/>
    <col min="4" max="4" width="60" customWidth="1"/>
  </cols>
  <sheetData>
    <row r="1" spans="1:3" x14ac:dyDescent="0.2">
      <c r="A1" s="1" t="s">
        <v>0</v>
      </c>
      <c r="B1" s="1" t="s">
        <v>18</v>
      </c>
      <c r="C1" s="1" t="s">
        <v>19</v>
      </c>
    </row>
    <row r="2" spans="1:3" x14ac:dyDescent="0.2">
      <c r="A2" t="s">
        <v>21</v>
      </c>
      <c r="B2">
        <v>75</v>
      </c>
      <c r="C2" t="s">
        <v>22</v>
      </c>
    </row>
    <row r="3" spans="1:3" x14ac:dyDescent="0.2">
      <c r="A3" t="s">
        <v>23</v>
      </c>
      <c r="B3">
        <v>100</v>
      </c>
      <c r="C3" t="s">
        <v>22</v>
      </c>
    </row>
    <row r="4" spans="1:3" x14ac:dyDescent="0.2">
      <c r="A4" t="s">
        <v>24</v>
      </c>
      <c r="B4">
        <v>25</v>
      </c>
      <c r="C4" t="s">
        <v>22</v>
      </c>
    </row>
    <row r="5" spans="1:3" x14ac:dyDescent="0.2">
      <c r="A5" t="s">
        <v>25</v>
      </c>
      <c r="B5">
        <v>0</v>
      </c>
      <c r="C5" t="s">
        <v>26</v>
      </c>
    </row>
    <row r="6" spans="1:3" x14ac:dyDescent="0.2">
      <c r="A6" t="s">
        <v>27</v>
      </c>
      <c r="B6">
        <v>0.03</v>
      </c>
      <c r="C6" t="s">
        <v>28</v>
      </c>
    </row>
    <row r="7" spans="1:3" x14ac:dyDescent="0.2">
      <c r="A7" t="s">
        <v>29</v>
      </c>
      <c r="B7">
        <v>1.4999999999999999E-2</v>
      </c>
      <c r="C7" t="s">
        <v>28</v>
      </c>
    </row>
    <row r="8" spans="1:3" x14ac:dyDescent="0.2">
      <c r="A8" t="s">
        <v>30</v>
      </c>
      <c r="B8">
        <v>20000</v>
      </c>
      <c r="C8" t="s">
        <v>31</v>
      </c>
    </row>
    <row r="9" spans="1:3" x14ac:dyDescent="0.2">
      <c r="A9" t="s">
        <v>32</v>
      </c>
      <c r="B9">
        <v>50000</v>
      </c>
      <c r="C9" t="s">
        <v>31</v>
      </c>
    </row>
    <row r="10" spans="1:3" x14ac:dyDescent="0.2">
      <c r="A10" t="s">
        <v>33</v>
      </c>
      <c r="B10">
        <v>80000</v>
      </c>
      <c r="C10" t="s">
        <v>31</v>
      </c>
    </row>
    <row r="11" spans="1:3" x14ac:dyDescent="0.2">
      <c r="A11" t="s">
        <v>34</v>
      </c>
      <c r="B11">
        <v>50000</v>
      </c>
      <c r="C11" t="s">
        <v>31</v>
      </c>
    </row>
    <row r="12" spans="1:3" x14ac:dyDescent="0.2">
      <c r="A12" t="s">
        <v>35</v>
      </c>
      <c r="B12">
        <v>0.96</v>
      </c>
      <c r="C12" t="s">
        <v>36</v>
      </c>
    </row>
    <row r="13" spans="1:3" x14ac:dyDescent="0.2">
      <c r="A13" t="s">
        <v>37</v>
      </c>
      <c r="B13">
        <v>0.78</v>
      </c>
      <c r="C13" t="s">
        <v>36</v>
      </c>
    </row>
    <row r="14" spans="1:3" x14ac:dyDescent="0.2">
      <c r="A14" t="s">
        <v>38</v>
      </c>
      <c r="B14">
        <v>1</v>
      </c>
      <c r="C14" t="s">
        <v>36</v>
      </c>
    </row>
    <row r="15" spans="1:3" x14ac:dyDescent="0.2">
      <c r="A15" t="s">
        <v>39</v>
      </c>
      <c r="B15">
        <v>0</v>
      </c>
      <c r="C15" t="s">
        <v>40</v>
      </c>
    </row>
    <row r="16" spans="1:3" x14ac:dyDescent="0.2">
      <c r="A16" t="s">
        <v>41</v>
      </c>
      <c r="B16">
        <v>1</v>
      </c>
      <c r="C16" t="s">
        <v>26</v>
      </c>
    </row>
    <row r="17" spans="1:3" x14ac:dyDescent="0.2">
      <c r="A17" t="s">
        <v>42</v>
      </c>
      <c r="B17">
        <v>5</v>
      </c>
      <c r="C17" t="s">
        <v>22</v>
      </c>
    </row>
    <row r="18" spans="1:3" x14ac:dyDescent="0.2">
      <c r="A18" t="s">
        <v>85</v>
      </c>
      <c r="B18">
        <v>0.5</v>
      </c>
      <c r="C18" t="s">
        <v>36</v>
      </c>
    </row>
    <row r="19" spans="1:3" x14ac:dyDescent="0.2">
      <c r="A19" t="s">
        <v>86</v>
      </c>
      <c r="B19">
        <v>0.5</v>
      </c>
      <c r="C19" t="s">
        <v>36</v>
      </c>
    </row>
    <row r="20" spans="1:3" x14ac:dyDescent="0.2">
      <c r="A20" t="s">
        <v>87</v>
      </c>
      <c r="B20">
        <v>0.5</v>
      </c>
      <c r="C20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6"/>
  <sheetViews>
    <sheetView workbookViewId="0">
      <selection activeCell="F26" sqref="F26"/>
    </sheetView>
  </sheetViews>
  <sheetFormatPr baseColWidth="10" defaultColWidth="8.83203125" defaultRowHeight="15" x14ac:dyDescent="0.2"/>
  <cols>
    <col min="1" max="1" width="25.1640625" customWidth="1"/>
    <col min="2" max="2" width="24" customWidth="1"/>
    <col min="3" max="4" width="14" customWidth="1"/>
    <col min="5" max="5" width="60" customWidth="1"/>
  </cols>
  <sheetData>
    <row r="1" spans="1:7" x14ac:dyDescent="0.2">
      <c r="A1" t="s">
        <v>43</v>
      </c>
      <c r="B1" s="1" t="s">
        <v>44</v>
      </c>
      <c r="C1" s="1" t="s">
        <v>45</v>
      </c>
      <c r="D1" s="1" t="s">
        <v>18</v>
      </c>
      <c r="E1" s="1" t="s">
        <v>47</v>
      </c>
    </row>
    <row r="2" spans="1:7" ht="32" customHeight="1" x14ac:dyDescent="0.2">
      <c r="A2" s="1" t="s">
        <v>48</v>
      </c>
      <c r="B2" t="s">
        <v>49</v>
      </c>
      <c r="C2">
        <v>30</v>
      </c>
      <c r="D2">
        <v>1.4E-2</v>
      </c>
      <c r="E2">
        <v>1.4E-2</v>
      </c>
      <c r="G2" s="2"/>
    </row>
    <row r="3" spans="1:7" x14ac:dyDescent="0.2">
      <c r="A3" t="s">
        <v>48</v>
      </c>
      <c r="B3" t="s">
        <v>49</v>
      </c>
      <c r="C3">
        <v>365</v>
      </c>
      <c r="D3">
        <v>3.6999999999999998E-2</v>
      </c>
      <c r="E3">
        <f>1-PRODUCT(1-$E$2,1-D3)</f>
        <v>5.0482000000000027E-2</v>
      </c>
    </row>
    <row r="4" spans="1:7" x14ac:dyDescent="0.2">
      <c r="A4" t="s">
        <v>48</v>
      </c>
      <c r="B4" t="s">
        <v>49</v>
      </c>
      <c r="C4">
        <v>730</v>
      </c>
      <c r="D4">
        <v>4.7E-2</v>
      </c>
      <c r="E4">
        <f>1-PRODUCT(1-$E$2,1-D3,1-D4)</f>
        <v>9.5109346000000095E-2</v>
      </c>
    </row>
    <row r="5" spans="1:7" x14ac:dyDescent="0.2">
      <c r="A5" t="s">
        <v>48</v>
      </c>
      <c r="B5" t="s">
        <v>49</v>
      </c>
      <c r="C5">
        <v>1095</v>
      </c>
      <c r="D5">
        <v>6.5000000000000002E-2</v>
      </c>
      <c r="E5">
        <f>1-PRODUCT(1-$E$2,1-D3,1-D4,1-D5)</f>
        <v>0.15392723851000001</v>
      </c>
    </row>
    <row r="6" spans="1:7" x14ac:dyDescent="0.2">
      <c r="A6" t="s">
        <v>48</v>
      </c>
      <c r="B6" t="s">
        <v>49</v>
      </c>
      <c r="C6">
        <v>1460</v>
      </c>
      <c r="D6">
        <v>7.1999999999999995E-2</v>
      </c>
      <c r="E6">
        <f>1-PRODUCT(1-$E$2,1-D3,1-D4,1-D5,1-D6)</f>
        <v>0.21484447733727996</v>
      </c>
    </row>
    <row r="7" spans="1:7" x14ac:dyDescent="0.2">
      <c r="A7" t="s">
        <v>48</v>
      </c>
      <c r="B7" t="s">
        <v>49</v>
      </c>
      <c r="C7">
        <v>1825</v>
      </c>
      <c r="D7">
        <v>7.1999999999999995E-2</v>
      </c>
      <c r="E7">
        <f>1-PRODUCT(1-$E$2,1-D3,1-D4,1-D5,1-D6,1-D7)</f>
        <v>0.27137567496899573</v>
      </c>
    </row>
    <row r="8" spans="1:7" x14ac:dyDescent="0.2">
      <c r="A8" t="s">
        <v>48</v>
      </c>
      <c r="B8" t="s">
        <v>50</v>
      </c>
      <c r="C8">
        <v>30</v>
      </c>
      <c r="D8">
        <v>1.2E-2</v>
      </c>
      <c r="E8">
        <v>1.2E-2</v>
      </c>
    </row>
    <row r="9" spans="1:7" x14ac:dyDescent="0.2">
      <c r="A9" t="s">
        <v>48</v>
      </c>
      <c r="B9" t="s">
        <v>50</v>
      </c>
      <c r="C9">
        <v>365</v>
      </c>
      <c r="D9">
        <v>2.5000000000000001E-2</v>
      </c>
      <c r="E9">
        <f>1-PRODUCT(1-$E$8,1-D9)</f>
        <v>3.6700000000000066E-2</v>
      </c>
    </row>
    <row r="10" spans="1:7" x14ac:dyDescent="0.2">
      <c r="A10" t="s">
        <v>48</v>
      </c>
      <c r="B10" t="s">
        <v>50</v>
      </c>
      <c r="C10">
        <v>730</v>
      </c>
      <c r="D10">
        <v>1.7000000000000001E-2</v>
      </c>
      <c r="E10">
        <f>1-PRODUCT(1-$E$8,1-D9,1-D10)</f>
        <v>5.307610000000007E-2</v>
      </c>
    </row>
    <row r="11" spans="1:7" x14ac:dyDescent="0.2">
      <c r="A11" t="s">
        <v>48</v>
      </c>
      <c r="B11" t="s">
        <v>50</v>
      </c>
      <c r="C11">
        <v>1095</v>
      </c>
      <c r="D11">
        <v>2.9000000000000001E-2</v>
      </c>
      <c r="E11">
        <f>1-PRODUCT(1-$E$8,1-D9,1-D10,1-D11)</f>
        <v>8.0536893100000118E-2</v>
      </c>
    </row>
    <row r="12" spans="1:7" x14ac:dyDescent="0.2">
      <c r="A12" t="s">
        <v>48</v>
      </c>
      <c r="B12" t="s">
        <v>50</v>
      </c>
      <c r="C12">
        <v>1460</v>
      </c>
      <c r="D12">
        <v>3.2000000000000001E-2</v>
      </c>
      <c r="E12">
        <f>1-PRODUCT(1-$E$8,1-D9,1-D10,1-D11,1-D12)</f>
        <v>0.10995971252080017</v>
      </c>
    </row>
    <row r="13" spans="1:7" x14ac:dyDescent="0.2">
      <c r="A13" t="s">
        <v>48</v>
      </c>
      <c r="B13" t="s">
        <v>50</v>
      </c>
      <c r="C13">
        <v>1825</v>
      </c>
      <c r="D13">
        <v>4.8000000000000001E-2</v>
      </c>
      <c r="E13">
        <f>1-PRODUCT(1-$E$8,1-D9,1-D10,1-D11,1-D12,1-D13)</f>
        <v>0.15268164631980174</v>
      </c>
    </row>
    <row r="14" spans="1:7" x14ac:dyDescent="0.2">
      <c r="A14" t="s">
        <v>48</v>
      </c>
      <c r="B14" t="s">
        <v>51</v>
      </c>
      <c r="C14">
        <v>30</v>
      </c>
      <c r="D14">
        <v>1.9E-2</v>
      </c>
      <c r="E14">
        <v>0.01</v>
      </c>
    </row>
    <row r="15" spans="1:7" x14ac:dyDescent="0.2">
      <c r="A15" t="s">
        <v>48</v>
      </c>
      <c r="B15" t="s">
        <v>51</v>
      </c>
      <c r="C15">
        <v>365</v>
      </c>
      <c r="D15">
        <v>3.1E-2</v>
      </c>
      <c r="E15">
        <v>3.1E-2</v>
      </c>
    </row>
    <row r="16" spans="1:7" x14ac:dyDescent="0.2">
      <c r="A16" t="s">
        <v>48</v>
      </c>
      <c r="B16" t="s">
        <v>51</v>
      </c>
      <c r="C16">
        <v>730</v>
      </c>
      <c r="D16">
        <v>4.1000000000000002E-2</v>
      </c>
      <c r="E16">
        <v>4.1000000000000002E-2</v>
      </c>
    </row>
    <row r="17" spans="1:6" x14ac:dyDescent="0.2">
      <c r="A17" t="s">
        <v>48</v>
      </c>
      <c r="B17" t="s">
        <v>51</v>
      </c>
      <c r="C17">
        <v>1095</v>
      </c>
      <c r="D17">
        <v>5.1999999999999998E-2</v>
      </c>
      <c r="E17">
        <v>5.1999999999999998E-2</v>
      </c>
    </row>
    <row r="18" spans="1:6" x14ac:dyDescent="0.2">
      <c r="A18" t="s">
        <v>48</v>
      </c>
      <c r="B18" t="s">
        <v>51</v>
      </c>
      <c r="C18">
        <v>1460</v>
      </c>
      <c r="D18">
        <v>7.5999999999999998E-2</v>
      </c>
      <c r="E18">
        <v>7.5999999999999998E-2</v>
      </c>
    </row>
    <row r="19" spans="1:6" x14ac:dyDescent="0.2">
      <c r="A19" t="s">
        <v>48</v>
      </c>
      <c r="B19" t="s">
        <v>51</v>
      </c>
      <c r="C19">
        <v>1825</v>
      </c>
      <c r="D19">
        <v>9.6000000000000002E-2</v>
      </c>
      <c r="E19">
        <v>9.6000000000000002E-2</v>
      </c>
    </row>
    <row r="21" spans="1:6" x14ac:dyDescent="0.2">
      <c r="A21" t="s">
        <v>52</v>
      </c>
      <c r="B21" t="s">
        <v>49</v>
      </c>
      <c r="C21">
        <v>30</v>
      </c>
      <c r="D21">
        <v>6.0000000000000001E-3</v>
      </c>
      <c r="E21">
        <v>6.0000000000000001E-3</v>
      </c>
    </row>
    <row r="22" spans="1:6" x14ac:dyDescent="0.2">
      <c r="A22" t="s">
        <v>52</v>
      </c>
      <c r="B22" t="s">
        <v>50</v>
      </c>
      <c r="C22">
        <v>30</v>
      </c>
      <c r="D22">
        <v>5.7000000000000002E-2</v>
      </c>
      <c r="E22">
        <v>6.0000000000000001E-3</v>
      </c>
    </row>
    <row r="23" spans="1:6" x14ac:dyDescent="0.2">
      <c r="A23" t="s">
        <v>52</v>
      </c>
      <c r="B23" t="s">
        <v>51</v>
      </c>
      <c r="C23">
        <v>30</v>
      </c>
      <c r="D23">
        <v>1.9E-2</v>
      </c>
      <c r="E23">
        <v>6.0000000000000001E-3</v>
      </c>
    </row>
    <row r="24" spans="1:6" x14ac:dyDescent="0.2">
      <c r="A24" t="s">
        <v>52</v>
      </c>
      <c r="B24" t="s">
        <v>53</v>
      </c>
      <c r="C24">
        <v>30</v>
      </c>
      <c r="D24">
        <v>4.2000000000000003E-2</v>
      </c>
      <c r="E24">
        <v>4.2000000000000003E-2</v>
      </c>
    </row>
    <row r="26" spans="1:6" x14ac:dyDescent="0.2">
      <c r="A26" t="s">
        <v>54</v>
      </c>
      <c r="B26" t="s">
        <v>49</v>
      </c>
      <c r="C26">
        <v>365</v>
      </c>
      <c r="D26">
        <v>0.47</v>
      </c>
      <c r="E26">
        <v>0.47</v>
      </c>
      <c r="F26" t="s">
        <v>55</v>
      </c>
    </row>
    <row r="27" spans="1:6" x14ac:dyDescent="0.2">
      <c r="A27" t="s">
        <v>54</v>
      </c>
      <c r="B27" t="s">
        <v>49</v>
      </c>
      <c r="C27">
        <v>730</v>
      </c>
      <c r="D27">
        <v>0.59</v>
      </c>
      <c r="E27">
        <v>0.59</v>
      </c>
      <c r="F27" t="s">
        <v>55</v>
      </c>
    </row>
    <row r="28" spans="1:6" x14ac:dyDescent="0.2">
      <c r="A28" t="s">
        <v>54</v>
      </c>
      <c r="B28" t="s">
        <v>49</v>
      </c>
      <c r="C28">
        <v>1095</v>
      </c>
      <c r="D28">
        <v>0.63</v>
      </c>
      <c r="E28">
        <v>0.63</v>
      </c>
      <c r="F28" t="s">
        <v>55</v>
      </c>
    </row>
    <row r="29" spans="1:6" x14ac:dyDescent="0.2">
      <c r="A29" t="s">
        <v>54</v>
      </c>
      <c r="B29" t="s">
        <v>49</v>
      </c>
      <c r="C29">
        <v>1460</v>
      </c>
      <c r="D29">
        <v>0.63</v>
      </c>
      <c r="E29">
        <v>0.63</v>
      </c>
      <c r="F29" t="s">
        <v>55</v>
      </c>
    </row>
    <row r="30" spans="1:6" x14ac:dyDescent="0.2">
      <c r="A30" t="s">
        <v>54</v>
      </c>
      <c r="B30" t="s">
        <v>49</v>
      </c>
      <c r="C30">
        <v>1825</v>
      </c>
      <c r="D30">
        <v>0.63</v>
      </c>
      <c r="E30">
        <v>0.63</v>
      </c>
      <c r="F30" t="s">
        <v>55</v>
      </c>
    </row>
    <row r="31" spans="1:6" x14ac:dyDescent="0.2">
      <c r="A31" t="s">
        <v>54</v>
      </c>
      <c r="B31" t="s">
        <v>50</v>
      </c>
      <c r="C31">
        <v>365</v>
      </c>
      <c r="D31">
        <v>0.39</v>
      </c>
      <c r="E31">
        <v>0.39</v>
      </c>
      <c r="F31" t="s">
        <v>55</v>
      </c>
    </row>
    <row r="32" spans="1:6" x14ac:dyDescent="0.2">
      <c r="A32" t="s">
        <v>54</v>
      </c>
      <c r="B32" t="s">
        <v>50</v>
      </c>
      <c r="C32">
        <v>730</v>
      </c>
      <c r="D32">
        <v>0.56000000000000005</v>
      </c>
      <c r="E32">
        <v>0.56000000000000005</v>
      </c>
      <c r="F32" t="s">
        <v>55</v>
      </c>
    </row>
    <row r="33" spans="1:6" x14ac:dyDescent="0.2">
      <c r="A33" t="s">
        <v>54</v>
      </c>
      <c r="B33" t="s">
        <v>50</v>
      </c>
      <c r="C33">
        <v>1095</v>
      </c>
      <c r="D33">
        <v>0.57999999999999996</v>
      </c>
      <c r="E33">
        <v>0.57999999999999996</v>
      </c>
      <c r="F33" t="s">
        <v>55</v>
      </c>
    </row>
    <row r="34" spans="1:6" x14ac:dyDescent="0.2">
      <c r="A34" t="s">
        <v>54</v>
      </c>
      <c r="B34" t="s">
        <v>50</v>
      </c>
      <c r="C34">
        <v>1460</v>
      </c>
      <c r="D34">
        <v>0.71</v>
      </c>
      <c r="E34">
        <v>0.68</v>
      </c>
      <c r="F34" t="s">
        <v>55</v>
      </c>
    </row>
    <row r="35" spans="1:6" x14ac:dyDescent="0.2">
      <c r="A35" t="s">
        <v>54</v>
      </c>
      <c r="B35" t="s">
        <v>50</v>
      </c>
      <c r="C35">
        <v>1825</v>
      </c>
      <c r="D35">
        <v>0.68</v>
      </c>
      <c r="E35">
        <v>0.68</v>
      </c>
      <c r="F35" t="s">
        <v>55</v>
      </c>
    </row>
    <row r="36" spans="1:6" x14ac:dyDescent="0.2">
      <c r="A36" t="s">
        <v>54</v>
      </c>
      <c r="B36" t="s">
        <v>51</v>
      </c>
      <c r="C36">
        <v>365</v>
      </c>
      <c r="D36">
        <v>0.57699999999999996</v>
      </c>
      <c r="E36">
        <v>0.57699999999999996</v>
      </c>
    </row>
    <row r="37" spans="1:6" x14ac:dyDescent="0.2">
      <c r="A37" t="s">
        <v>54</v>
      </c>
      <c r="B37" t="s">
        <v>51</v>
      </c>
      <c r="C37">
        <v>730</v>
      </c>
      <c r="D37">
        <v>0.62</v>
      </c>
    </row>
    <row r="38" spans="1:6" x14ac:dyDescent="0.2">
      <c r="A38" t="s">
        <v>54</v>
      </c>
      <c r="B38" t="s">
        <v>51</v>
      </c>
      <c r="C38">
        <v>1095</v>
      </c>
      <c r="D38">
        <v>0.73099999999999998</v>
      </c>
      <c r="E38">
        <v>0.73099999999999998</v>
      </c>
    </row>
    <row r="39" spans="1:6" x14ac:dyDescent="0.2">
      <c r="A39" t="s">
        <v>54</v>
      </c>
      <c r="B39" t="s">
        <v>51</v>
      </c>
      <c r="C39">
        <v>1460</v>
      </c>
      <c r="D39">
        <v>0.74</v>
      </c>
    </row>
    <row r="40" spans="1:6" x14ac:dyDescent="0.2">
      <c r="A40" t="s">
        <v>54</v>
      </c>
      <c r="B40" t="s">
        <v>51</v>
      </c>
      <c r="C40">
        <v>1825</v>
      </c>
      <c r="D40">
        <v>0.76400000000000001</v>
      </c>
      <c r="E40">
        <v>0.76400000000000001</v>
      </c>
    </row>
    <row r="42" spans="1:6" x14ac:dyDescent="0.2">
      <c r="A42" t="s">
        <v>56</v>
      </c>
      <c r="B42" t="s">
        <v>49</v>
      </c>
      <c r="C42">
        <v>365</v>
      </c>
      <c r="D42">
        <v>0.49</v>
      </c>
      <c r="E42">
        <v>0.49</v>
      </c>
    </row>
    <row r="43" spans="1:6" x14ac:dyDescent="0.2">
      <c r="A43" t="s">
        <v>56</v>
      </c>
      <c r="B43" t="s">
        <v>49</v>
      </c>
      <c r="C43">
        <v>730</v>
      </c>
      <c r="D43">
        <v>0.34</v>
      </c>
      <c r="E43">
        <v>0.34</v>
      </c>
    </row>
    <row r="44" spans="1:6" x14ac:dyDescent="0.2">
      <c r="A44" t="s">
        <v>56</v>
      </c>
      <c r="B44" t="s">
        <v>49</v>
      </c>
      <c r="C44">
        <v>1095</v>
      </c>
      <c r="D44">
        <v>0.27</v>
      </c>
      <c r="E44">
        <v>0.27</v>
      </c>
    </row>
    <row r="45" spans="1:6" x14ac:dyDescent="0.2">
      <c r="A45" t="s">
        <v>56</v>
      </c>
      <c r="B45" t="s">
        <v>49</v>
      </c>
      <c r="C45">
        <v>1460</v>
      </c>
      <c r="D45">
        <v>0.25</v>
      </c>
      <c r="E45">
        <v>0.25</v>
      </c>
    </row>
    <row r="46" spans="1:6" x14ac:dyDescent="0.2">
      <c r="A46" t="s">
        <v>56</v>
      </c>
      <c r="B46" t="s">
        <v>49</v>
      </c>
      <c r="C46">
        <v>1825</v>
      </c>
      <c r="D46">
        <v>0.24</v>
      </c>
      <c r="E46">
        <v>0.24</v>
      </c>
    </row>
    <row r="47" spans="1:6" x14ac:dyDescent="0.2">
      <c r="A47" t="s">
        <v>56</v>
      </c>
      <c r="B47" t="s">
        <v>50</v>
      </c>
      <c r="C47">
        <v>365</v>
      </c>
      <c r="D47">
        <v>0.56999999999999995</v>
      </c>
      <c r="E47">
        <v>0.56999999999999995</v>
      </c>
    </row>
    <row r="48" spans="1:6" x14ac:dyDescent="0.2">
      <c r="A48" t="s">
        <v>56</v>
      </c>
      <c r="B48" t="s">
        <v>50</v>
      </c>
      <c r="C48">
        <v>730</v>
      </c>
      <c r="D48">
        <v>0.42</v>
      </c>
      <c r="E48">
        <v>0.42</v>
      </c>
    </row>
    <row r="49" spans="1:5" x14ac:dyDescent="0.2">
      <c r="A49" t="s">
        <v>56</v>
      </c>
      <c r="B49" t="s">
        <v>50</v>
      </c>
      <c r="C49">
        <v>1095</v>
      </c>
      <c r="D49">
        <v>0.36</v>
      </c>
      <c r="E49">
        <v>0.36</v>
      </c>
    </row>
    <row r="50" spans="1:5" x14ac:dyDescent="0.2">
      <c r="A50" t="s">
        <v>56</v>
      </c>
      <c r="B50" t="s">
        <v>50</v>
      </c>
      <c r="C50">
        <v>1460</v>
      </c>
      <c r="D50">
        <v>0.08</v>
      </c>
      <c r="E50">
        <v>0.08</v>
      </c>
    </row>
    <row r="51" spans="1:5" x14ac:dyDescent="0.2">
      <c r="A51" t="s">
        <v>56</v>
      </c>
      <c r="B51" t="s">
        <v>50</v>
      </c>
      <c r="C51">
        <v>1825</v>
      </c>
      <c r="D51">
        <v>0.14000000000000001</v>
      </c>
      <c r="E51">
        <v>0.14000000000000001</v>
      </c>
    </row>
    <row r="52" spans="1:5" x14ac:dyDescent="0.2">
      <c r="A52" t="s">
        <v>56</v>
      </c>
      <c r="B52" t="s">
        <v>51</v>
      </c>
      <c r="C52">
        <v>365</v>
      </c>
      <c r="E52">
        <v>0.56999999999999995</v>
      </c>
    </row>
    <row r="53" spans="1:5" x14ac:dyDescent="0.2">
      <c r="A53" t="s">
        <v>56</v>
      </c>
      <c r="B53" t="s">
        <v>51</v>
      </c>
      <c r="C53">
        <v>730</v>
      </c>
      <c r="E53">
        <v>0.42</v>
      </c>
    </row>
    <row r="54" spans="1:5" x14ac:dyDescent="0.2">
      <c r="A54" t="s">
        <v>56</v>
      </c>
      <c r="B54" t="s">
        <v>51</v>
      </c>
      <c r="C54">
        <v>1095</v>
      </c>
      <c r="E54">
        <v>0.36</v>
      </c>
    </row>
    <row r="55" spans="1:5" x14ac:dyDescent="0.2">
      <c r="A55" t="s">
        <v>56</v>
      </c>
      <c r="B55" t="s">
        <v>51</v>
      </c>
      <c r="C55">
        <v>1460</v>
      </c>
      <c r="E55">
        <v>0.08</v>
      </c>
    </row>
    <row r="56" spans="1:5" x14ac:dyDescent="0.2">
      <c r="A56" t="s">
        <v>56</v>
      </c>
      <c r="B56" t="s">
        <v>51</v>
      </c>
      <c r="C56">
        <v>1825</v>
      </c>
      <c r="E56">
        <v>0.14000000000000001</v>
      </c>
    </row>
    <row r="58" spans="1:5" x14ac:dyDescent="0.2">
      <c r="A58" t="s">
        <v>57</v>
      </c>
      <c r="B58" t="s">
        <v>49</v>
      </c>
      <c r="C58">
        <v>365</v>
      </c>
      <c r="D58">
        <v>0.05</v>
      </c>
      <c r="E58">
        <v>0.05</v>
      </c>
    </row>
    <row r="59" spans="1:5" x14ac:dyDescent="0.2">
      <c r="A59" t="s">
        <v>57</v>
      </c>
      <c r="B59" t="s">
        <v>49</v>
      </c>
      <c r="C59">
        <v>730</v>
      </c>
      <c r="D59">
        <v>7.0000000000000007E-2</v>
      </c>
      <c r="E59">
        <v>7.0000000000000007E-2</v>
      </c>
    </row>
    <row r="60" spans="1:5" x14ac:dyDescent="0.2">
      <c r="A60" t="s">
        <v>57</v>
      </c>
      <c r="B60" t="s">
        <v>49</v>
      </c>
      <c r="C60">
        <v>1095</v>
      </c>
      <c r="D60">
        <v>0.1</v>
      </c>
      <c r="E60">
        <v>0.1</v>
      </c>
    </row>
    <row r="61" spans="1:5" x14ac:dyDescent="0.2">
      <c r="A61" t="s">
        <v>57</v>
      </c>
      <c r="B61" t="s">
        <v>49</v>
      </c>
      <c r="C61">
        <v>1460</v>
      </c>
      <c r="D61">
        <v>0.12</v>
      </c>
      <c r="E61">
        <v>0.12</v>
      </c>
    </row>
    <row r="62" spans="1:5" x14ac:dyDescent="0.2">
      <c r="A62" t="s">
        <v>57</v>
      </c>
      <c r="B62" t="s">
        <v>49</v>
      </c>
      <c r="C62">
        <v>1825</v>
      </c>
      <c r="D62">
        <v>0.12</v>
      </c>
      <c r="E62">
        <v>0.12</v>
      </c>
    </row>
    <row r="63" spans="1:5" x14ac:dyDescent="0.2">
      <c r="A63" t="s">
        <v>57</v>
      </c>
      <c r="B63" t="s">
        <v>50</v>
      </c>
      <c r="C63">
        <v>365</v>
      </c>
      <c r="D63">
        <v>0.04</v>
      </c>
      <c r="E63">
        <v>0.04</v>
      </c>
    </row>
    <row r="64" spans="1:5" x14ac:dyDescent="0.2">
      <c r="A64" t="s">
        <v>57</v>
      </c>
      <c r="B64" t="s">
        <v>50</v>
      </c>
      <c r="C64">
        <v>730</v>
      </c>
      <c r="D64">
        <v>0.03</v>
      </c>
      <c r="E64">
        <v>0.03</v>
      </c>
    </row>
    <row r="65" spans="1:5" x14ac:dyDescent="0.2">
      <c r="A65" t="s">
        <v>57</v>
      </c>
      <c r="B65" t="s">
        <v>50</v>
      </c>
      <c r="C65">
        <v>1095</v>
      </c>
      <c r="D65">
        <v>7.0000000000000007E-2</v>
      </c>
      <c r="E65">
        <v>7.0000000000000007E-2</v>
      </c>
    </row>
    <row r="66" spans="1:5" x14ac:dyDescent="0.2">
      <c r="A66" t="s">
        <v>57</v>
      </c>
      <c r="B66" t="s">
        <v>50</v>
      </c>
      <c r="C66">
        <v>1460</v>
      </c>
      <c r="D66">
        <v>0.21</v>
      </c>
      <c r="E66">
        <v>0.21</v>
      </c>
    </row>
    <row r="67" spans="1:5" x14ac:dyDescent="0.2">
      <c r="A67" t="s">
        <v>57</v>
      </c>
      <c r="B67" t="s">
        <v>50</v>
      </c>
      <c r="C67">
        <v>1825</v>
      </c>
      <c r="D67">
        <v>0.18</v>
      </c>
      <c r="E67">
        <v>0.18</v>
      </c>
    </row>
    <row r="68" spans="1:5" x14ac:dyDescent="0.2">
      <c r="A68" t="s">
        <v>57</v>
      </c>
      <c r="B68" t="s">
        <v>51</v>
      </c>
      <c r="C68">
        <v>365</v>
      </c>
      <c r="D68">
        <v>3.2000000000000001E-2</v>
      </c>
      <c r="E68">
        <v>3.2000000000000001E-2</v>
      </c>
    </row>
    <row r="69" spans="1:5" x14ac:dyDescent="0.2">
      <c r="A69" t="s">
        <v>57</v>
      </c>
      <c r="B69" t="s">
        <v>51</v>
      </c>
      <c r="C69">
        <v>730</v>
      </c>
    </row>
    <row r="70" spans="1:5" x14ac:dyDescent="0.2">
      <c r="A70" t="s">
        <v>57</v>
      </c>
      <c r="B70" t="s">
        <v>51</v>
      </c>
      <c r="C70">
        <v>1095</v>
      </c>
    </row>
    <row r="71" spans="1:5" x14ac:dyDescent="0.2">
      <c r="A71" t="s">
        <v>57</v>
      </c>
      <c r="B71" t="s">
        <v>51</v>
      </c>
      <c r="C71">
        <v>1460</v>
      </c>
    </row>
    <row r="72" spans="1:5" x14ac:dyDescent="0.2">
      <c r="A72" t="s">
        <v>57</v>
      </c>
      <c r="B72" t="s">
        <v>51</v>
      </c>
      <c r="C72">
        <v>1825</v>
      </c>
      <c r="D72">
        <f xml:space="preserve"> 1 - 0.9</f>
        <v>9.9999999999999978E-2</v>
      </c>
      <c r="E72">
        <f xml:space="preserve"> 1 - 0.9</f>
        <v>9.9999999999999978E-2</v>
      </c>
    </row>
    <row r="74" spans="1:5" x14ac:dyDescent="0.2">
      <c r="A74" t="s">
        <v>58</v>
      </c>
      <c r="B74" t="s">
        <v>49</v>
      </c>
      <c r="C74">
        <v>365</v>
      </c>
      <c r="D74">
        <v>0.08</v>
      </c>
      <c r="E74">
        <v>0.08</v>
      </c>
    </row>
    <row r="75" spans="1:5" x14ac:dyDescent="0.2">
      <c r="A75" t="s">
        <v>58</v>
      </c>
      <c r="B75" t="s">
        <v>49</v>
      </c>
      <c r="C75">
        <v>730</v>
      </c>
    </row>
    <row r="76" spans="1:5" x14ac:dyDescent="0.2">
      <c r="A76" t="s">
        <v>58</v>
      </c>
      <c r="B76" t="s">
        <v>49</v>
      </c>
      <c r="C76">
        <v>1095</v>
      </c>
      <c r="D76">
        <v>0.14000000000000001</v>
      </c>
      <c r="E76">
        <v>0.14000000000000001</v>
      </c>
    </row>
    <row r="77" spans="1:5" x14ac:dyDescent="0.2">
      <c r="A77" t="s">
        <v>58</v>
      </c>
      <c r="B77" t="s">
        <v>49</v>
      </c>
      <c r="C77">
        <v>1460</v>
      </c>
    </row>
    <row r="78" spans="1:5" x14ac:dyDescent="0.2">
      <c r="A78" t="s">
        <v>58</v>
      </c>
      <c r="B78" t="s">
        <v>49</v>
      </c>
      <c r="C78">
        <v>1825</v>
      </c>
      <c r="D78">
        <v>0.28999999999999998</v>
      </c>
      <c r="E78">
        <v>0.28999999999999998</v>
      </c>
    </row>
    <row r="79" spans="1:5" x14ac:dyDescent="0.2">
      <c r="A79" t="s">
        <v>58</v>
      </c>
      <c r="B79" t="s">
        <v>50</v>
      </c>
      <c r="C79">
        <v>365</v>
      </c>
      <c r="D79">
        <v>4.4999999999999998E-2</v>
      </c>
      <c r="E79">
        <v>4.4999999999999998E-2</v>
      </c>
    </row>
    <row r="80" spans="1:5" x14ac:dyDescent="0.2">
      <c r="A80" t="s">
        <v>58</v>
      </c>
      <c r="B80" t="s">
        <v>50</v>
      </c>
      <c r="C80">
        <v>730</v>
      </c>
      <c r="D80">
        <v>4.4999999999999998E-2</v>
      </c>
      <c r="E80">
        <v>4.4999999999999998E-2</v>
      </c>
    </row>
    <row r="81" spans="1:5" x14ac:dyDescent="0.2">
      <c r="A81" t="s">
        <v>58</v>
      </c>
      <c r="B81" t="s">
        <v>50</v>
      </c>
      <c r="C81">
        <v>1095</v>
      </c>
      <c r="D81">
        <v>0.105</v>
      </c>
      <c r="E81">
        <v>0.105</v>
      </c>
    </row>
    <row r="82" spans="1:5" x14ac:dyDescent="0.2">
      <c r="A82" t="s">
        <v>58</v>
      </c>
      <c r="B82" t="s">
        <v>50</v>
      </c>
      <c r="C82">
        <v>1460</v>
      </c>
      <c r="D82">
        <v>0.151</v>
      </c>
      <c r="E82">
        <v>0.151</v>
      </c>
    </row>
    <row r="83" spans="1:5" x14ac:dyDescent="0.2">
      <c r="A83" t="s">
        <v>58</v>
      </c>
      <c r="B83" t="s">
        <v>50</v>
      </c>
      <c r="C83">
        <v>1825</v>
      </c>
      <c r="D83">
        <v>0.23100000000000001</v>
      </c>
      <c r="E83">
        <v>0.23100000000000001</v>
      </c>
    </row>
    <row r="84" spans="1:5" x14ac:dyDescent="0.2">
      <c r="A84" t="s">
        <v>58</v>
      </c>
      <c r="B84" t="s">
        <v>51</v>
      </c>
      <c r="C84">
        <v>365</v>
      </c>
      <c r="D84">
        <v>0.129</v>
      </c>
      <c r="E84">
        <v>0.129</v>
      </c>
    </row>
    <row r="85" spans="1:5" x14ac:dyDescent="0.2">
      <c r="A85" t="s">
        <v>58</v>
      </c>
      <c r="B85" t="s">
        <v>51</v>
      </c>
      <c r="C85">
        <v>730</v>
      </c>
      <c r="D85">
        <v>0.17499999999999999</v>
      </c>
      <c r="E85">
        <v>0.17499999999999999</v>
      </c>
    </row>
    <row r="86" spans="1:5" x14ac:dyDescent="0.2">
      <c r="A86" t="s">
        <v>58</v>
      </c>
      <c r="B86" t="s">
        <v>51</v>
      </c>
      <c r="C86">
        <v>1095</v>
      </c>
      <c r="D86">
        <v>0.215</v>
      </c>
      <c r="E86">
        <v>0.215</v>
      </c>
    </row>
    <row r="87" spans="1:5" x14ac:dyDescent="0.2">
      <c r="A87" t="s">
        <v>58</v>
      </c>
      <c r="B87" t="s">
        <v>51</v>
      </c>
      <c r="C87">
        <v>1460</v>
      </c>
      <c r="D87">
        <v>0.23699999999999999</v>
      </c>
      <c r="E87">
        <v>0.23699999999999999</v>
      </c>
    </row>
    <row r="88" spans="1:5" x14ac:dyDescent="0.2">
      <c r="A88" t="s">
        <v>58</v>
      </c>
      <c r="B88" t="s">
        <v>51</v>
      </c>
      <c r="C88">
        <v>1825</v>
      </c>
      <c r="D88">
        <v>0.25600000000000001</v>
      </c>
      <c r="E88">
        <v>0.25600000000000001</v>
      </c>
    </row>
    <row r="89" spans="1:5" x14ac:dyDescent="0.2">
      <c r="A89" t="s">
        <v>58</v>
      </c>
      <c r="B89" t="s">
        <v>53</v>
      </c>
      <c r="C89">
        <v>365</v>
      </c>
      <c r="D89">
        <v>0.04</v>
      </c>
      <c r="E89">
        <v>0.04</v>
      </c>
    </row>
    <row r="90" spans="1:5" x14ac:dyDescent="0.2">
      <c r="A90" t="s">
        <v>58</v>
      </c>
      <c r="B90" t="s">
        <v>53</v>
      </c>
      <c r="C90">
        <v>730</v>
      </c>
      <c r="D90">
        <v>5.5E-2</v>
      </c>
      <c r="E90">
        <v>5.5E-2</v>
      </c>
    </row>
    <row r="91" spans="1:5" x14ac:dyDescent="0.2">
      <c r="A91" t="s">
        <v>58</v>
      </c>
      <c r="B91" t="s">
        <v>53</v>
      </c>
      <c r="C91">
        <v>1095</v>
      </c>
      <c r="D91">
        <v>7.4999999999999997E-2</v>
      </c>
      <c r="E91">
        <v>7.4999999999999997E-2</v>
      </c>
    </row>
    <row r="92" spans="1:5" x14ac:dyDescent="0.2">
      <c r="A92" t="s">
        <v>58</v>
      </c>
      <c r="B92" t="s">
        <v>53</v>
      </c>
      <c r="C92">
        <v>1460</v>
      </c>
      <c r="D92">
        <v>8.8999999999999996E-2</v>
      </c>
      <c r="E92">
        <v>8.8999999999999996E-2</v>
      </c>
    </row>
    <row r="93" spans="1:5" x14ac:dyDescent="0.2">
      <c r="A93" t="s">
        <v>58</v>
      </c>
      <c r="B93" t="s">
        <v>53</v>
      </c>
      <c r="C93">
        <v>1825</v>
      </c>
      <c r="D93">
        <v>0.10199999999999999</v>
      </c>
      <c r="E93">
        <v>0.10199999999999999</v>
      </c>
    </row>
    <row r="95" spans="1:5" x14ac:dyDescent="0.2">
      <c r="A95" t="s">
        <v>59</v>
      </c>
      <c r="B95" t="s">
        <v>49</v>
      </c>
      <c r="C95">
        <v>365</v>
      </c>
      <c r="D95">
        <v>1.7999999999999999E-2</v>
      </c>
      <c r="E95">
        <v>1.7999999999999999E-2</v>
      </c>
    </row>
    <row r="96" spans="1:5" x14ac:dyDescent="0.2">
      <c r="A96" t="s">
        <v>59</v>
      </c>
      <c r="B96" t="s">
        <v>49</v>
      </c>
      <c r="C96">
        <v>730</v>
      </c>
      <c r="D96">
        <v>1.8499999999999999E-2</v>
      </c>
      <c r="E96">
        <v>1.8499999999999999E-2</v>
      </c>
    </row>
    <row r="97" spans="1:5" x14ac:dyDescent="0.2">
      <c r="A97" t="s">
        <v>59</v>
      </c>
      <c r="B97" t="s">
        <v>49</v>
      </c>
      <c r="C97">
        <v>1095</v>
      </c>
      <c r="D97">
        <v>2.1499999999999998E-2</v>
      </c>
      <c r="E97">
        <v>2.1499999999999998E-2</v>
      </c>
    </row>
    <row r="98" spans="1:5" x14ac:dyDescent="0.2">
      <c r="A98" t="s">
        <v>59</v>
      </c>
      <c r="B98" t="s">
        <v>49</v>
      </c>
      <c r="C98">
        <v>1460</v>
      </c>
      <c r="D98">
        <v>2.35E-2</v>
      </c>
      <c r="E98">
        <v>2.35E-2</v>
      </c>
    </row>
    <row r="99" spans="1:5" x14ac:dyDescent="0.2">
      <c r="A99" t="s">
        <v>59</v>
      </c>
      <c r="B99" t="s">
        <v>49</v>
      </c>
      <c r="C99">
        <v>1825</v>
      </c>
      <c r="D99">
        <v>2.4500000000000001E-2</v>
      </c>
      <c r="E99">
        <v>2.4500000000000001E-2</v>
      </c>
    </row>
    <row r="100" spans="1:5" x14ac:dyDescent="0.2">
      <c r="A100" t="s">
        <v>59</v>
      </c>
      <c r="B100" t="s">
        <v>50</v>
      </c>
      <c r="C100">
        <v>365</v>
      </c>
      <c r="D100">
        <v>5.7000000000000002E-2</v>
      </c>
      <c r="E100">
        <v>5.7000000000000002E-2</v>
      </c>
    </row>
    <row r="101" spans="1:5" x14ac:dyDescent="0.2">
      <c r="A101" t="s">
        <v>59</v>
      </c>
      <c r="B101" t="s">
        <v>50</v>
      </c>
      <c r="C101">
        <v>730</v>
      </c>
      <c r="D101">
        <v>5.7000000000000002E-2</v>
      </c>
      <c r="E101">
        <v>5.7000000000000002E-2</v>
      </c>
    </row>
    <row r="102" spans="1:5" x14ac:dyDescent="0.2">
      <c r="A102" t="s">
        <v>59</v>
      </c>
      <c r="B102" t="s">
        <v>50</v>
      </c>
      <c r="C102">
        <v>1095</v>
      </c>
      <c r="D102">
        <v>7.5999999999999998E-2</v>
      </c>
      <c r="E102">
        <v>7.5999999999999998E-2</v>
      </c>
    </row>
    <row r="103" spans="1:5" x14ac:dyDescent="0.2">
      <c r="A103" t="s">
        <v>59</v>
      </c>
      <c r="B103" t="s">
        <v>50</v>
      </c>
      <c r="C103">
        <v>1460</v>
      </c>
      <c r="D103">
        <v>7.5999999999999998E-2</v>
      </c>
      <c r="E103">
        <v>7.5999999999999998E-2</v>
      </c>
    </row>
    <row r="104" spans="1:5" x14ac:dyDescent="0.2">
      <c r="A104" t="s">
        <v>59</v>
      </c>
      <c r="B104" t="s">
        <v>50</v>
      </c>
      <c r="C104">
        <v>1825</v>
      </c>
      <c r="D104">
        <v>9.9000000000000005E-2</v>
      </c>
      <c r="E104">
        <v>9.9000000000000005E-2</v>
      </c>
    </row>
    <row r="105" spans="1:5" x14ac:dyDescent="0.2">
      <c r="A105" t="s">
        <v>59</v>
      </c>
      <c r="B105" t="s">
        <v>51</v>
      </c>
      <c r="C105">
        <v>365</v>
      </c>
      <c r="D105">
        <v>4.2000000000000003E-2</v>
      </c>
      <c r="E105">
        <v>4.2000000000000003E-2</v>
      </c>
    </row>
    <row r="106" spans="1:5" x14ac:dyDescent="0.2">
      <c r="A106" t="s">
        <v>59</v>
      </c>
      <c r="B106" t="s">
        <v>51</v>
      </c>
      <c r="C106">
        <v>730</v>
      </c>
      <c r="D106">
        <v>4.3999999999999997E-2</v>
      </c>
      <c r="E106">
        <v>4.3999999999999997E-2</v>
      </c>
    </row>
    <row r="107" spans="1:5" x14ac:dyDescent="0.2">
      <c r="A107" t="s">
        <v>59</v>
      </c>
      <c r="B107" t="s">
        <v>51</v>
      </c>
      <c r="C107">
        <v>1095</v>
      </c>
      <c r="D107">
        <v>4.9000000000000002E-2</v>
      </c>
      <c r="E107">
        <v>4.9000000000000002E-2</v>
      </c>
    </row>
    <row r="108" spans="1:5" x14ac:dyDescent="0.2">
      <c r="A108" t="s">
        <v>59</v>
      </c>
      <c r="B108" t="s">
        <v>51</v>
      </c>
      <c r="C108">
        <v>1460</v>
      </c>
      <c r="D108">
        <v>5.1999999999999998E-2</v>
      </c>
      <c r="E108">
        <v>5.1999999999999998E-2</v>
      </c>
    </row>
    <row r="109" spans="1:5" x14ac:dyDescent="0.2">
      <c r="A109" t="s">
        <v>59</v>
      </c>
      <c r="B109" t="s">
        <v>51</v>
      </c>
      <c r="C109">
        <v>1825</v>
      </c>
      <c r="D109">
        <v>9.9000000000000005E-2</v>
      </c>
      <c r="E109">
        <v>9.9000000000000005E-2</v>
      </c>
    </row>
    <row r="111" spans="1:5" x14ac:dyDescent="0.2">
      <c r="A111" t="s">
        <v>88</v>
      </c>
      <c r="B111" t="s">
        <v>53</v>
      </c>
      <c r="C111">
        <v>365</v>
      </c>
      <c r="E111">
        <v>4.4999999999999998E-2</v>
      </c>
    </row>
    <row r="112" spans="1:5" ht="16" customHeight="1" x14ac:dyDescent="0.2">
      <c r="A112" t="s">
        <v>88</v>
      </c>
      <c r="B112" t="s">
        <v>53</v>
      </c>
      <c r="C112">
        <v>730</v>
      </c>
      <c r="D112">
        <f>1-0.946</f>
        <v>5.4000000000000048E-2</v>
      </c>
      <c r="E112">
        <v>6.6000000000000003E-2</v>
      </c>
    </row>
    <row r="113" spans="1:5" x14ac:dyDescent="0.2">
      <c r="A113" t="s">
        <v>88</v>
      </c>
      <c r="B113" t="s">
        <v>53</v>
      </c>
      <c r="C113">
        <v>1095</v>
      </c>
      <c r="E113">
        <v>0.105</v>
      </c>
    </row>
    <row r="114" spans="1:5" x14ac:dyDescent="0.2">
      <c r="A114" t="s">
        <v>88</v>
      </c>
      <c r="B114" t="s">
        <v>53</v>
      </c>
      <c r="C114">
        <v>1460</v>
      </c>
      <c r="E114">
        <v>0.14599999999999999</v>
      </c>
    </row>
    <row r="115" spans="1:5" x14ac:dyDescent="0.2">
      <c r="A115" t="s">
        <v>88</v>
      </c>
      <c r="B115" t="s">
        <v>53</v>
      </c>
      <c r="C115">
        <v>1825</v>
      </c>
      <c r="D115">
        <f>1-0.899</f>
        <v>0.10099999999999998</v>
      </c>
      <c r="E115">
        <v>0.188</v>
      </c>
    </row>
    <row r="117" spans="1:5" x14ac:dyDescent="0.2">
      <c r="A117" t="s">
        <v>15</v>
      </c>
      <c r="B117" t="s">
        <v>49</v>
      </c>
      <c r="C117">
        <v>365</v>
      </c>
    </row>
    <row r="118" spans="1:5" x14ac:dyDescent="0.2">
      <c r="A118" t="s">
        <v>15</v>
      </c>
      <c r="B118" t="s">
        <v>49</v>
      </c>
      <c r="C118">
        <v>730</v>
      </c>
    </row>
    <row r="119" spans="1:5" x14ac:dyDescent="0.2">
      <c r="A119" t="s">
        <v>15</v>
      </c>
      <c r="B119" t="s">
        <v>49</v>
      </c>
      <c r="C119">
        <v>1095</v>
      </c>
    </row>
    <row r="120" spans="1:5" x14ac:dyDescent="0.2">
      <c r="A120" t="s">
        <v>15</v>
      </c>
      <c r="B120" t="s">
        <v>49</v>
      </c>
      <c r="C120">
        <v>1460</v>
      </c>
    </row>
    <row r="121" spans="1:5" x14ac:dyDescent="0.2">
      <c r="A121" t="s">
        <v>15</v>
      </c>
      <c r="B121" t="s">
        <v>49</v>
      </c>
      <c r="C121">
        <v>1825</v>
      </c>
      <c r="D121">
        <v>4.8000000000000001E-2</v>
      </c>
      <c r="E121">
        <v>4.8000000000000001E-2</v>
      </c>
    </row>
    <row r="122" spans="1:5" x14ac:dyDescent="0.2">
      <c r="A122" t="s">
        <v>15</v>
      </c>
      <c r="B122" t="s">
        <v>50</v>
      </c>
      <c r="C122">
        <v>365</v>
      </c>
    </row>
    <row r="123" spans="1:5" x14ac:dyDescent="0.2">
      <c r="A123" t="s">
        <v>15</v>
      </c>
      <c r="B123" t="s">
        <v>50</v>
      </c>
      <c r="C123">
        <v>730</v>
      </c>
    </row>
    <row r="124" spans="1:5" x14ac:dyDescent="0.2">
      <c r="A124" t="s">
        <v>15</v>
      </c>
      <c r="B124" t="s">
        <v>50</v>
      </c>
      <c r="C124">
        <v>1095</v>
      </c>
    </row>
    <row r="125" spans="1:5" x14ac:dyDescent="0.2">
      <c r="A125" t="s">
        <v>15</v>
      </c>
      <c r="B125" t="s">
        <v>50</v>
      </c>
      <c r="C125">
        <v>1460</v>
      </c>
    </row>
    <row r="126" spans="1:5" x14ac:dyDescent="0.2">
      <c r="A126" t="s">
        <v>15</v>
      </c>
      <c r="B126" t="s">
        <v>50</v>
      </c>
      <c r="C126">
        <v>1825</v>
      </c>
      <c r="D126">
        <f xml:space="preserve"> 1- 0.977</f>
        <v>2.300000000000002E-2</v>
      </c>
      <c r="E126">
        <f xml:space="preserve"> 1- 0.977</f>
        <v>2.300000000000002E-2</v>
      </c>
    </row>
    <row r="127" spans="1:5" x14ac:dyDescent="0.2">
      <c r="A127" t="s">
        <v>15</v>
      </c>
      <c r="B127" t="s">
        <v>51</v>
      </c>
      <c r="C127">
        <v>365</v>
      </c>
      <c r="D127">
        <v>1E-3</v>
      </c>
      <c r="E127">
        <v>1E-3</v>
      </c>
    </row>
    <row r="128" spans="1:5" x14ac:dyDescent="0.2">
      <c r="A128" t="s">
        <v>15</v>
      </c>
      <c r="B128" t="s">
        <v>51</v>
      </c>
      <c r="C128">
        <v>730</v>
      </c>
      <c r="D128">
        <v>5.0000000000000001E-3</v>
      </c>
      <c r="E128">
        <v>5.0000000000000001E-3</v>
      </c>
    </row>
    <row r="129" spans="1:5" x14ac:dyDescent="0.2">
      <c r="A129" t="s">
        <v>15</v>
      </c>
      <c r="B129" t="s">
        <v>51</v>
      </c>
      <c r="C129">
        <v>1095</v>
      </c>
      <c r="D129">
        <v>8.0000000000000002E-3</v>
      </c>
      <c r="E129">
        <v>8.0000000000000002E-3</v>
      </c>
    </row>
    <row r="130" spans="1:5" x14ac:dyDescent="0.2">
      <c r="A130" t="s">
        <v>15</v>
      </c>
      <c r="B130" t="s">
        <v>51</v>
      </c>
      <c r="C130">
        <v>1460</v>
      </c>
      <c r="D130">
        <v>2.1000000000000001E-2</v>
      </c>
      <c r="E130">
        <v>2.1000000000000001E-2</v>
      </c>
    </row>
    <row r="131" spans="1:5" x14ac:dyDescent="0.2">
      <c r="A131" t="s">
        <v>15</v>
      </c>
      <c r="B131" t="s">
        <v>51</v>
      </c>
      <c r="C131">
        <v>1825</v>
      </c>
      <c r="D131">
        <v>2.7E-2</v>
      </c>
      <c r="E131">
        <v>2.7E-2</v>
      </c>
    </row>
    <row r="132" spans="1:5" x14ac:dyDescent="0.2">
      <c r="A132" t="s">
        <v>15</v>
      </c>
      <c r="B132" t="s">
        <v>53</v>
      </c>
      <c r="C132">
        <v>365</v>
      </c>
      <c r="D132">
        <v>0.04</v>
      </c>
      <c r="E132">
        <v>0.04</v>
      </c>
    </row>
    <row r="133" spans="1:5" x14ac:dyDescent="0.2">
      <c r="A133" t="s">
        <v>15</v>
      </c>
      <c r="B133" t="s">
        <v>53</v>
      </c>
      <c r="C133">
        <v>730</v>
      </c>
      <c r="D133">
        <v>0.04</v>
      </c>
      <c r="E133">
        <v>0.04</v>
      </c>
    </row>
    <row r="134" spans="1:5" x14ac:dyDescent="0.2">
      <c r="A134" t="s">
        <v>15</v>
      </c>
      <c r="B134" t="s">
        <v>53</v>
      </c>
      <c r="C134">
        <v>1095</v>
      </c>
      <c r="D134">
        <v>0.04</v>
      </c>
      <c r="E134">
        <v>0.04</v>
      </c>
    </row>
    <row r="135" spans="1:5" x14ac:dyDescent="0.2">
      <c r="A135" t="s">
        <v>15</v>
      </c>
      <c r="B135" t="s">
        <v>53</v>
      </c>
      <c r="C135">
        <v>1460</v>
      </c>
      <c r="D135">
        <v>0.04</v>
      </c>
      <c r="E135">
        <v>0.04</v>
      </c>
    </row>
    <row r="136" spans="1:5" x14ac:dyDescent="0.2">
      <c r="A136" t="s">
        <v>15</v>
      </c>
      <c r="B136" t="s">
        <v>53</v>
      </c>
      <c r="C136">
        <v>1825</v>
      </c>
      <c r="D136">
        <v>0.04</v>
      </c>
      <c r="E136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E1" sqref="D1:E1048576"/>
    </sheetView>
  </sheetViews>
  <sheetFormatPr baseColWidth="10" defaultColWidth="8.83203125" defaultRowHeight="15" x14ac:dyDescent="0.2"/>
  <cols>
    <col min="1" max="1" width="24" customWidth="1"/>
    <col min="2" max="3" width="14" customWidth="1"/>
    <col min="4" max="4" width="60" customWidth="1"/>
  </cols>
  <sheetData>
    <row r="1" spans="1:3" x14ac:dyDescent="0.2">
      <c r="A1" s="1" t="s">
        <v>0</v>
      </c>
      <c r="B1" s="1" t="s">
        <v>18</v>
      </c>
      <c r="C1" s="1" t="s">
        <v>19</v>
      </c>
    </row>
    <row r="2" spans="1:3" x14ac:dyDescent="0.2">
      <c r="A2" t="s">
        <v>2</v>
      </c>
      <c r="B2">
        <v>118</v>
      </c>
      <c r="C2" t="s">
        <v>60</v>
      </c>
    </row>
    <row r="3" spans="1:3" x14ac:dyDescent="0.2">
      <c r="A3" t="s">
        <v>3</v>
      </c>
      <c r="B3">
        <v>214</v>
      </c>
      <c r="C3" t="s">
        <v>60</v>
      </c>
    </row>
    <row r="4" spans="1:3" x14ac:dyDescent="0.2">
      <c r="A4" t="s">
        <v>93</v>
      </c>
      <c r="B4">
        <v>11</v>
      </c>
      <c r="C4" t="s">
        <v>94</v>
      </c>
    </row>
    <row r="5" spans="1:3" x14ac:dyDescent="0.2">
      <c r="A5" t="s">
        <v>95</v>
      </c>
      <c r="B5">
        <v>137</v>
      </c>
      <c r="C5" t="s">
        <v>111</v>
      </c>
    </row>
    <row r="6" spans="1:3" x14ac:dyDescent="0.2">
      <c r="A6" t="s">
        <v>96</v>
      </c>
      <c r="B6">
        <v>2727</v>
      </c>
      <c r="C6" t="s">
        <v>97</v>
      </c>
    </row>
    <row r="7" spans="1:3" x14ac:dyDescent="0.2">
      <c r="A7" t="s">
        <v>98</v>
      </c>
      <c r="B7">
        <v>644</v>
      </c>
      <c r="C7" t="s">
        <v>97</v>
      </c>
    </row>
    <row r="8" spans="1:3" x14ac:dyDescent="0.2">
      <c r="A8" t="s">
        <v>99</v>
      </c>
      <c r="B8">
        <v>200</v>
      </c>
      <c r="C8" t="s">
        <v>100</v>
      </c>
    </row>
    <row r="9" spans="1:3" x14ac:dyDescent="0.2">
      <c r="A9" t="s">
        <v>101</v>
      </c>
      <c r="B9">
        <v>6249</v>
      </c>
      <c r="C9" t="s">
        <v>100</v>
      </c>
    </row>
    <row r="10" spans="1:3" x14ac:dyDescent="0.2">
      <c r="A10" t="s">
        <v>102</v>
      </c>
      <c r="B10">
        <v>1900</v>
      </c>
      <c r="C10" t="s">
        <v>100</v>
      </c>
    </row>
    <row r="11" spans="1:3" x14ac:dyDescent="0.2">
      <c r="A11" t="s">
        <v>1</v>
      </c>
      <c r="B11">
        <v>27750</v>
      </c>
      <c r="C11" t="s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D1" sqref="C1:D1048576"/>
    </sheetView>
  </sheetViews>
  <sheetFormatPr baseColWidth="10" defaultColWidth="8.83203125" defaultRowHeight="15" x14ac:dyDescent="0.2"/>
  <cols>
    <col min="1" max="1" width="24" customWidth="1"/>
    <col min="2" max="2" width="14" customWidth="1"/>
    <col min="3" max="3" width="30" customWidth="1"/>
    <col min="4" max="4" width="60" customWidth="1"/>
  </cols>
  <sheetData>
    <row r="1" spans="1:2" x14ac:dyDescent="0.2">
      <c r="A1" s="1" t="s">
        <v>0</v>
      </c>
      <c r="B1" s="1" t="s">
        <v>18</v>
      </c>
    </row>
    <row r="2" spans="1:2" x14ac:dyDescent="0.2">
      <c r="A2" t="s">
        <v>7</v>
      </c>
      <c r="B2">
        <v>0.6</v>
      </c>
    </row>
    <row r="3" spans="1:2" x14ac:dyDescent="0.2">
      <c r="A3" t="s">
        <v>8</v>
      </c>
      <c r="B3">
        <v>0.8</v>
      </c>
    </row>
    <row r="4" spans="1:2" x14ac:dyDescent="0.2">
      <c r="A4" t="s">
        <v>9</v>
      </c>
      <c r="B4">
        <v>0.2</v>
      </c>
    </row>
    <row r="5" spans="1:2" x14ac:dyDescent="0.2">
      <c r="A5" t="s">
        <v>10</v>
      </c>
      <c r="B5">
        <v>0.1</v>
      </c>
    </row>
    <row r="6" spans="1:2" x14ac:dyDescent="0.2">
      <c r="A6" t="s">
        <v>11</v>
      </c>
      <c r="B6">
        <v>0.3</v>
      </c>
    </row>
    <row r="7" spans="1:2" x14ac:dyDescent="0.2">
      <c r="A7" t="s">
        <v>12</v>
      </c>
      <c r="B7">
        <v>0.5</v>
      </c>
    </row>
    <row r="8" spans="1:2" x14ac:dyDescent="0.2">
      <c r="A8" t="s">
        <v>13</v>
      </c>
      <c r="B8">
        <v>0</v>
      </c>
    </row>
    <row r="9" spans="1:2" x14ac:dyDescent="0.2">
      <c r="A9" t="s">
        <v>14</v>
      </c>
      <c r="B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>
      <selection activeCell="D1" sqref="D1:E1048576"/>
    </sheetView>
  </sheetViews>
  <sheetFormatPr baseColWidth="10" defaultColWidth="8.83203125" defaultRowHeight="15" x14ac:dyDescent="0.2"/>
  <cols>
    <col min="1" max="1" width="24" customWidth="1"/>
    <col min="2" max="3" width="14" customWidth="1"/>
    <col min="4" max="4" width="60" customWidth="1"/>
  </cols>
  <sheetData>
    <row r="1" spans="1:3" x14ac:dyDescent="0.2">
      <c r="A1" s="1" t="s">
        <v>0</v>
      </c>
      <c r="B1" s="1" t="s">
        <v>18</v>
      </c>
      <c r="C1" s="1" t="s">
        <v>19</v>
      </c>
    </row>
    <row r="2" spans="1:3" x14ac:dyDescent="0.2">
      <c r="A2" t="s">
        <v>16</v>
      </c>
      <c r="B2">
        <v>0.5</v>
      </c>
      <c r="C2" t="s">
        <v>63</v>
      </c>
    </row>
    <row r="3" spans="1:3" x14ac:dyDescent="0.2">
      <c r="A3" t="s">
        <v>17</v>
      </c>
      <c r="B3">
        <v>0</v>
      </c>
      <c r="C3" t="s">
        <v>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6CEE5-6D03-1E4D-AB9B-AA8E5A155318}">
  <dimension ref="A1:D25"/>
  <sheetViews>
    <sheetView workbookViewId="0">
      <selection activeCell="E1" sqref="E1:H1048576"/>
    </sheetView>
  </sheetViews>
  <sheetFormatPr baseColWidth="10" defaultRowHeight="15" x14ac:dyDescent="0.2"/>
  <cols>
    <col min="1" max="1" width="15.33203125" customWidth="1"/>
  </cols>
  <sheetData>
    <row r="1" spans="1:4" x14ac:dyDescent="0.2">
      <c r="A1" s="1" t="s">
        <v>0</v>
      </c>
      <c r="B1" s="1" t="s">
        <v>44</v>
      </c>
      <c r="C1" s="1" t="s">
        <v>18</v>
      </c>
      <c r="D1" s="1" t="s">
        <v>19</v>
      </c>
    </row>
    <row r="2" spans="1:4" x14ac:dyDescent="0.2">
      <c r="A2" t="s">
        <v>89</v>
      </c>
      <c r="B2" t="s">
        <v>49</v>
      </c>
      <c r="C2">
        <v>138</v>
      </c>
      <c r="D2" t="s">
        <v>90</v>
      </c>
    </row>
    <row r="3" spans="1:4" x14ac:dyDescent="0.2">
      <c r="A3" t="s">
        <v>89</v>
      </c>
      <c r="B3" t="s">
        <v>50</v>
      </c>
      <c r="C3">
        <v>138</v>
      </c>
      <c r="D3" t="s">
        <v>90</v>
      </c>
    </row>
    <row r="4" spans="1:4" x14ac:dyDescent="0.2">
      <c r="A4" t="s">
        <v>89</v>
      </c>
      <c r="B4" t="s">
        <v>51</v>
      </c>
      <c r="C4">
        <v>240</v>
      </c>
      <c r="D4" t="s">
        <v>90</v>
      </c>
    </row>
    <row r="5" spans="1:4" x14ac:dyDescent="0.2">
      <c r="A5" t="s">
        <v>89</v>
      </c>
      <c r="B5" t="s">
        <v>53</v>
      </c>
      <c r="C5">
        <v>406</v>
      </c>
      <c r="D5" t="s">
        <v>90</v>
      </c>
    </row>
    <row r="6" spans="1:4" x14ac:dyDescent="0.2">
      <c r="A6" t="s">
        <v>89</v>
      </c>
      <c r="B6" t="s">
        <v>103</v>
      </c>
      <c r="C6">
        <v>406</v>
      </c>
      <c r="D6" t="s">
        <v>90</v>
      </c>
    </row>
    <row r="7" spans="1:4" x14ac:dyDescent="0.2">
      <c r="A7" t="s">
        <v>89</v>
      </c>
      <c r="B7" t="s">
        <v>104</v>
      </c>
      <c r="C7">
        <v>275</v>
      </c>
      <c r="D7" t="s">
        <v>90</v>
      </c>
    </row>
    <row r="9" spans="1:4" x14ac:dyDescent="0.2">
      <c r="A9" t="s">
        <v>91</v>
      </c>
      <c r="B9" t="s">
        <v>49</v>
      </c>
      <c r="C9">
        <v>2.46</v>
      </c>
      <c r="D9" t="s">
        <v>45</v>
      </c>
    </row>
    <row r="10" spans="1:4" x14ac:dyDescent="0.2">
      <c r="A10" t="s">
        <v>91</v>
      </c>
      <c r="B10" t="s">
        <v>50</v>
      </c>
      <c r="C10">
        <v>2.46</v>
      </c>
      <c r="D10" t="s">
        <v>45</v>
      </c>
    </row>
    <row r="11" spans="1:4" x14ac:dyDescent="0.2">
      <c r="A11" t="s">
        <v>91</v>
      </c>
      <c r="B11" t="s">
        <v>51</v>
      </c>
      <c r="C11">
        <v>1.84</v>
      </c>
      <c r="D11" t="s">
        <v>45</v>
      </c>
    </row>
    <row r="12" spans="1:4" x14ac:dyDescent="0.2">
      <c r="A12" t="s">
        <v>91</v>
      </c>
      <c r="B12" t="s">
        <v>53</v>
      </c>
      <c r="C12">
        <v>3.11</v>
      </c>
      <c r="D12" t="s">
        <v>45</v>
      </c>
    </row>
    <row r="13" spans="1:4" x14ac:dyDescent="0.2">
      <c r="A13" t="s">
        <v>91</v>
      </c>
      <c r="B13" t="s">
        <v>103</v>
      </c>
      <c r="C13">
        <v>7</v>
      </c>
      <c r="D13" t="s">
        <v>45</v>
      </c>
    </row>
    <row r="14" spans="1:4" x14ac:dyDescent="0.2">
      <c r="A14" t="s">
        <v>91</v>
      </c>
      <c r="B14" t="s">
        <v>104</v>
      </c>
      <c r="C14">
        <v>8</v>
      </c>
      <c r="D14" t="s">
        <v>45</v>
      </c>
    </row>
    <row r="16" spans="1:4" x14ac:dyDescent="0.2">
      <c r="A16" t="s">
        <v>92</v>
      </c>
      <c r="B16" t="s">
        <v>49</v>
      </c>
      <c r="C16">
        <v>3.25</v>
      </c>
      <c r="D16" t="s">
        <v>45</v>
      </c>
    </row>
    <row r="17" spans="1:4" x14ac:dyDescent="0.2">
      <c r="A17" t="s">
        <v>92</v>
      </c>
      <c r="B17" t="s">
        <v>50</v>
      </c>
      <c r="C17">
        <v>3.25</v>
      </c>
      <c r="D17" t="s">
        <v>45</v>
      </c>
    </row>
    <row r="18" spans="1:4" x14ac:dyDescent="0.2">
      <c r="A18" t="s">
        <v>92</v>
      </c>
      <c r="B18" t="s">
        <v>51</v>
      </c>
      <c r="C18">
        <v>3.35</v>
      </c>
      <c r="D18" t="s">
        <v>45</v>
      </c>
    </row>
    <row r="19" spans="1:4" x14ac:dyDescent="0.2">
      <c r="A19" t="s">
        <v>92</v>
      </c>
      <c r="B19" t="s">
        <v>53</v>
      </c>
      <c r="C19">
        <v>8.83</v>
      </c>
      <c r="D19" t="s">
        <v>45</v>
      </c>
    </row>
    <row r="20" spans="1:4" x14ac:dyDescent="0.2">
      <c r="A20" t="s">
        <v>92</v>
      </c>
      <c r="B20" t="s">
        <v>103</v>
      </c>
      <c r="C20">
        <v>13</v>
      </c>
      <c r="D20" t="s">
        <v>45</v>
      </c>
    </row>
    <row r="21" spans="1:4" x14ac:dyDescent="0.2">
      <c r="A21" t="s">
        <v>92</v>
      </c>
      <c r="B21" t="s">
        <v>104</v>
      </c>
      <c r="C21">
        <v>14</v>
      </c>
      <c r="D21" t="s">
        <v>45</v>
      </c>
    </row>
    <row r="23" spans="1:4" x14ac:dyDescent="0.2">
      <c r="A23" t="s">
        <v>4</v>
      </c>
      <c r="C23">
        <v>4</v>
      </c>
      <c r="D23" t="s">
        <v>61</v>
      </c>
    </row>
    <row r="24" spans="1:4" x14ac:dyDescent="0.2">
      <c r="A24" t="s">
        <v>5</v>
      </c>
      <c r="C24">
        <v>1</v>
      </c>
      <c r="D24" t="s">
        <v>61</v>
      </c>
    </row>
    <row r="25" spans="1:4" x14ac:dyDescent="0.2">
      <c r="A25" t="s">
        <v>6</v>
      </c>
      <c r="C25">
        <v>0.2</v>
      </c>
      <c r="D25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24" customWidth="1"/>
    <col min="2" max="4" width="14" customWidth="1"/>
    <col min="5" max="5" width="30" customWidth="1"/>
  </cols>
  <sheetData>
    <row r="1" spans="1:5" x14ac:dyDescent="0.2">
      <c r="A1" s="1" t="s">
        <v>64</v>
      </c>
      <c r="B1" s="1" t="s">
        <v>65</v>
      </c>
      <c r="C1" s="1" t="s">
        <v>20</v>
      </c>
      <c r="D1" s="1" t="s">
        <v>66</v>
      </c>
      <c r="E1" s="1" t="s">
        <v>67</v>
      </c>
    </row>
    <row r="2" spans="1:5" x14ac:dyDescent="0.2">
      <c r="A2">
        <v>1</v>
      </c>
      <c r="B2" t="s">
        <v>68</v>
      </c>
      <c r="C2" t="s">
        <v>49</v>
      </c>
      <c r="D2" t="s">
        <v>50</v>
      </c>
      <c r="E2">
        <v>0.4</v>
      </c>
    </row>
    <row r="3" spans="1:5" x14ac:dyDescent="0.2">
      <c r="A3">
        <v>2</v>
      </c>
      <c r="B3" t="s">
        <v>68</v>
      </c>
      <c r="C3" t="s">
        <v>49</v>
      </c>
      <c r="D3" t="s">
        <v>51</v>
      </c>
      <c r="E3">
        <v>0.4</v>
      </c>
    </row>
    <row r="4" spans="1:5" x14ac:dyDescent="0.2">
      <c r="A4">
        <v>3</v>
      </c>
      <c r="B4" t="s">
        <v>68</v>
      </c>
      <c r="C4" t="s">
        <v>49</v>
      </c>
      <c r="D4" t="s">
        <v>53</v>
      </c>
      <c r="E4">
        <v>0.4</v>
      </c>
    </row>
    <row r="5" spans="1:5" x14ac:dyDescent="0.2">
      <c r="A5">
        <v>4</v>
      </c>
      <c r="B5" t="s">
        <v>68</v>
      </c>
      <c r="C5" t="s">
        <v>50</v>
      </c>
      <c r="D5" t="s">
        <v>51</v>
      </c>
      <c r="E5">
        <v>0.2</v>
      </c>
    </row>
    <row r="6" spans="1:5" x14ac:dyDescent="0.2">
      <c r="A6">
        <v>5</v>
      </c>
      <c r="B6" t="s">
        <v>68</v>
      </c>
      <c r="C6" t="s">
        <v>50</v>
      </c>
      <c r="D6" t="s">
        <v>53</v>
      </c>
      <c r="E6">
        <v>0.2</v>
      </c>
    </row>
    <row r="7" spans="1:5" x14ac:dyDescent="0.2">
      <c r="A7">
        <v>6</v>
      </c>
      <c r="B7" t="s">
        <v>68</v>
      </c>
      <c r="C7" t="s">
        <v>51</v>
      </c>
      <c r="D7" t="s">
        <v>53</v>
      </c>
      <c r="E7">
        <v>0.15</v>
      </c>
    </row>
    <row r="8" spans="1:5" x14ac:dyDescent="0.2">
      <c r="A8">
        <v>7</v>
      </c>
      <c r="B8" t="s">
        <v>69</v>
      </c>
      <c r="C8" t="s">
        <v>53</v>
      </c>
      <c r="D8" t="s">
        <v>51</v>
      </c>
      <c r="E8">
        <v>0.15</v>
      </c>
    </row>
    <row r="9" spans="1:5" x14ac:dyDescent="0.2">
      <c r="A9">
        <v>8</v>
      </c>
      <c r="B9" t="s">
        <v>69</v>
      </c>
      <c r="C9" t="s">
        <v>53</v>
      </c>
      <c r="D9" t="s">
        <v>50</v>
      </c>
      <c r="E9">
        <v>0.2</v>
      </c>
    </row>
    <row r="10" spans="1:5" x14ac:dyDescent="0.2">
      <c r="A10">
        <v>9</v>
      </c>
      <c r="B10" t="s">
        <v>69</v>
      </c>
      <c r="C10" t="s">
        <v>53</v>
      </c>
      <c r="D10" t="s">
        <v>49</v>
      </c>
      <c r="E10">
        <v>0.4</v>
      </c>
    </row>
    <row r="11" spans="1:5" x14ac:dyDescent="0.2">
      <c r="A11">
        <v>10</v>
      </c>
      <c r="B11" t="s">
        <v>69</v>
      </c>
      <c r="C11" t="s">
        <v>51</v>
      </c>
      <c r="D11" t="s">
        <v>50</v>
      </c>
      <c r="E11">
        <v>0.2</v>
      </c>
    </row>
    <row r="12" spans="1:5" x14ac:dyDescent="0.2">
      <c r="A12">
        <v>11</v>
      </c>
      <c r="B12" t="s">
        <v>69</v>
      </c>
      <c r="C12" t="s">
        <v>51</v>
      </c>
      <c r="D12" t="s">
        <v>49</v>
      </c>
      <c r="E12">
        <v>0.4</v>
      </c>
    </row>
    <row r="13" spans="1:5" x14ac:dyDescent="0.2">
      <c r="A13">
        <v>12</v>
      </c>
      <c r="B13" t="s">
        <v>69</v>
      </c>
      <c r="C13" t="s">
        <v>50</v>
      </c>
      <c r="D13" t="s">
        <v>49</v>
      </c>
      <c r="E13">
        <v>0.3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93C93-970A-044F-A72D-F724111E60BF}">
  <dimension ref="A1:H40"/>
  <sheetViews>
    <sheetView tabSelected="1" workbookViewId="0">
      <selection activeCell="L36" sqref="L36"/>
    </sheetView>
  </sheetViews>
  <sheetFormatPr baseColWidth="10" defaultRowHeight="15" x14ac:dyDescent="0.2"/>
  <sheetData>
    <row r="1" spans="1:8" x14ac:dyDescent="0.2">
      <c r="A1" t="s">
        <v>0</v>
      </c>
      <c r="B1" t="s">
        <v>72</v>
      </c>
      <c r="C1" t="s">
        <v>73</v>
      </c>
      <c r="D1" t="s">
        <v>74</v>
      </c>
      <c r="E1" t="s">
        <v>75</v>
      </c>
      <c r="F1" t="s">
        <v>106</v>
      </c>
      <c r="G1" t="s">
        <v>76</v>
      </c>
      <c r="H1" t="s">
        <v>77</v>
      </c>
    </row>
    <row r="2" spans="1:8" x14ac:dyDescent="0.2">
      <c r="A2" t="s">
        <v>2</v>
      </c>
      <c r="B2" t="s">
        <v>78</v>
      </c>
      <c r="C2">
        <v>118</v>
      </c>
      <c r="D2" t="s">
        <v>79</v>
      </c>
      <c r="E2">
        <f xml:space="preserve"> 0.05*C2</f>
        <v>5.9</v>
      </c>
      <c r="F2">
        <f>0.9*C2</f>
        <v>106.2</v>
      </c>
      <c r="G2">
        <f>1.1*C2</f>
        <v>129.80000000000001</v>
      </c>
      <c r="H2">
        <v>1</v>
      </c>
    </row>
    <row r="3" spans="1:8" x14ac:dyDescent="0.2">
      <c r="A3" t="s">
        <v>3</v>
      </c>
      <c r="B3" t="s">
        <v>78</v>
      </c>
      <c r="C3">
        <v>214</v>
      </c>
      <c r="D3" t="s">
        <v>79</v>
      </c>
      <c r="E3">
        <f t="shared" ref="E3:E8" si="0" xml:space="preserve"> 0.05*C3</f>
        <v>10.700000000000001</v>
      </c>
      <c r="F3">
        <f t="shared" ref="F3:F8" si="1">0.9*C3</f>
        <v>192.6</v>
      </c>
      <c r="G3">
        <f t="shared" ref="G3:G8" si="2">1.1*C3</f>
        <v>235.4</v>
      </c>
      <c r="H3">
        <v>1</v>
      </c>
    </row>
    <row r="4" spans="1:8" x14ac:dyDescent="0.2">
      <c r="A4" t="s">
        <v>93</v>
      </c>
      <c r="B4" t="s">
        <v>78</v>
      </c>
      <c r="C4">
        <v>11</v>
      </c>
      <c r="D4" t="s">
        <v>79</v>
      </c>
      <c r="E4">
        <f t="shared" si="0"/>
        <v>0.55000000000000004</v>
      </c>
      <c r="F4">
        <f t="shared" si="1"/>
        <v>9.9</v>
      </c>
      <c r="G4">
        <f t="shared" si="2"/>
        <v>12.100000000000001</v>
      </c>
      <c r="H4">
        <v>1</v>
      </c>
    </row>
    <row r="5" spans="1:8" x14ac:dyDescent="0.2">
      <c r="A5" t="s">
        <v>95</v>
      </c>
      <c r="B5" t="s">
        <v>78</v>
      </c>
      <c r="C5">
        <v>137</v>
      </c>
      <c r="D5" t="s">
        <v>79</v>
      </c>
      <c r="E5">
        <f t="shared" si="0"/>
        <v>6.8500000000000005</v>
      </c>
      <c r="F5">
        <f t="shared" si="1"/>
        <v>123.3</v>
      </c>
      <c r="G5">
        <f t="shared" si="2"/>
        <v>150.70000000000002</v>
      </c>
      <c r="H5">
        <v>1</v>
      </c>
    </row>
    <row r="6" spans="1:8" x14ac:dyDescent="0.2">
      <c r="A6" t="s">
        <v>96</v>
      </c>
      <c r="B6" t="s">
        <v>78</v>
      </c>
      <c r="C6">
        <v>2727</v>
      </c>
      <c r="D6" t="s">
        <v>79</v>
      </c>
      <c r="E6">
        <f t="shared" si="0"/>
        <v>136.35</v>
      </c>
      <c r="F6">
        <f t="shared" si="1"/>
        <v>2454.3000000000002</v>
      </c>
      <c r="G6">
        <f t="shared" si="2"/>
        <v>2999.7000000000003</v>
      </c>
      <c r="H6">
        <v>1</v>
      </c>
    </row>
    <row r="7" spans="1:8" x14ac:dyDescent="0.2">
      <c r="A7" t="s">
        <v>98</v>
      </c>
      <c r="B7" t="s">
        <v>78</v>
      </c>
      <c r="C7">
        <v>335</v>
      </c>
      <c r="D7" t="s">
        <v>79</v>
      </c>
      <c r="E7">
        <f t="shared" si="0"/>
        <v>16.75</v>
      </c>
      <c r="F7">
        <f t="shared" si="1"/>
        <v>301.5</v>
      </c>
      <c r="G7">
        <f t="shared" si="2"/>
        <v>368.50000000000006</v>
      </c>
      <c r="H7">
        <v>1</v>
      </c>
    </row>
    <row r="8" spans="1:8" x14ac:dyDescent="0.2">
      <c r="A8" t="s">
        <v>99</v>
      </c>
      <c r="B8" t="s">
        <v>78</v>
      </c>
      <c r="C8">
        <v>710</v>
      </c>
      <c r="D8" t="s">
        <v>79</v>
      </c>
      <c r="E8">
        <f t="shared" si="0"/>
        <v>35.5</v>
      </c>
      <c r="F8">
        <f t="shared" si="1"/>
        <v>639</v>
      </c>
      <c r="G8">
        <f t="shared" si="2"/>
        <v>781.00000000000011</v>
      </c>
      <c r="H8">
        <v>1</v>
      </c>
    </row>
    <row r="9" spans="1:8" x14ac:dyDescent="0.2">
      <c r="A9" t="s">
        <v>101</v>
      </c>
      <c r="B9" t="s">
        <v>78</v>
      </c>
      <c r="C9">
        <v>6249</v>
      </c>
      <c r="D9" t="s">
        <v>79</v>
      </c>
      <c r="E9">
        <f t="shared" ref="E9:E11" si="3" xml:space="preserve"> 0.1*C9</f>
        <v>624.90000000000009</v>
      </c>
      <c r="F9">
        <f t="shared" ref="F9:F11" si="4">0.8*C9</f>
        <v>4999.2000000000007</v>
      </c>
      <c r="G9">
        <f t="shared" ref="G9:G11" si="5">1.2*C9</f>
        <v>7498.7999999999993</v>
      </c>
      <c r="H9">
        <v>1</v>
      </c>
    </row>
    <row r="10" spans="1:8" x14ac:dyDescent="0.2">
      <c r="A10" t="s">
        <v>102</v>
      </c>
      <c r="B10" t="s">
        <v>78</v>
      </c>
      <c r="C10">
        <v>1900</v>
      </c>
      <c r="D10" t="s">
        <v>79</v>
      </c>
      <c r="E10">
        <f t="shared" si="3"/>
        <v>190</v>
      </c>
      <c r="F10">
        <f t="shared" si="4"/>
        <v>1520</v>
      </c>
      <c r="G10">
        <f t="shared" si="5"/>
        <v>2280</v>
      </c>
      <c r="H10">
        <v>1</v>
      </c>
    </row>
    <row r="11" spans="1:8" x14ac:dyDescent="0.2">
      <c r="A11" t="s">
        <v>1</v>
      </c>
      <c r="B11" t="s">
        <v>78</v>
      </c>
      <c r="C11">
        <v>27750</v>
      </c>
      <c r="D11" t="s">
        <v>79</v>
      </c>
      <c r="E11">
        <f t="shared" si="3"/>
        <v>2775</v>
      </c>
      <c r="F11">
        <f t="shared" si="4"/>
        <v>22200</v>
      </c>
      <c r="G11">
        <f t="shared" si="5"/>
        <v>33300</v>
      </c>
      <c r="H11">
        <v>1</v>
      </c>
    </row>
    <row r="14" spans="1:8" x14ac:dyDescent="0.2">
      <c r="A14" t="s">
        <v>7</v>
      </c>
      <c r="B14" t="s">
        <v>80</v>
      </c>
      <c r="C14">
        <v>0.6</v>
      </c>
      <c r="D14" t="s">
        <v>81</v>
      </c>
      <c r="E14">
        <v>0.15</v>
      </c>
      <c r="F14">
        <f>C14-2*E14</f>
        <v>0.3</v>
      </c>
      <c r="G14">
        <f>C14+2*E14</f>
        <v>0.89999999999999991</v>
      </c>
      <c r="H14">
        <v>1</v>
      </c>
    </row>
    <row r="15" spans="1:8" x14ac:dyDescent="0.2">
      <c r="A15" t="s">
        <v>8</v>
      </c>
      <c r="B15" t="s">
        <v>80</v>
      </c>
      <c r="C15">
        <v>0.8</v>
      </c>
      <c r="D15" t="s">
        <v>81</v>
      </c>
      <c r="E15">
        <v>0.15</v>
      </c>
      <c r="F15">
        <f t="shared" ref="F15:F21" si="6">C15-2*E15</f>
        <v>0.5</v>
      </c>
      <c r="G15">
        <v>1</v>
      </c>
      <c r="H15">
        <v>1</v>
      </c>
    </row>
    <row r="16" spans="1:8" x14ac:dyDescent="0.2">
      <c r="A16" t="s">
        <v>9</v>
      </c>
      <c r="B16" t="s">
        <v>80</v>
      </c>
      <c r="C16">
        <v>0.2</v>
      </c>
      <c r="D16" t="s">
        <v>81</v>
      </c>
      <c r="E16">
        <v>0.15</v>
      </c>
      <c r="F16">
        <v>0</v>
      </c>
      <c r="G16">
        <f t="shared" ref="G16:G21" si="7">C16+2*E16</f>
        <v>0.5</v>
      </c>
      <c r="H16">
        <v>1</v>
      </c>
    </row>
    <row r="17" spans="1:8" x14ac:dyDescent="0.2">
      <c r="A17" t="s">
        <v>10</v>
      </c>
      <c r="B17" t="s">
        <v>80</v>
      </c>
      <c r="C17">
        <v>0.1</v>
      </c>
      <c r="D17" t="s">
        <v>81</v>
      </c>
      <c r="E17">
        <v>0.15</v>
      </c>
      <c r="F17">
        <v>0</v>
      </c>
      <c r="G17">
        <f t="shared" si="7"/>
        <v>0.4</v>
      </c>
      <c r="H17">
        <v>1</v>
      </c>
    </row>
    <row r="18" spans="1:8" x14ac:dyDescent="0.2">
      <c r="A18" t="s">
        <v>11</v>
      </c>
      <c r="B18" t="s">
        <v>80</v>
      </c>
      <c r="C18">
        <v>0.3</v>
      </c>
      <c r="D18" t="s">
        <v>81</v>
      </c>
      <c r="E18">
        <v>0.15</v>
      </c>
      <c r="F18">
        <f t="shared" si="6"/>
        <v>0</v>
      </c>
      <c r="G18">
        <f t="shared" si="7"/>
        <v>0.6</v>
      </c>
      <c r="H18">
        <v>1</v>
      </c>
    </row>
    <row r="19" spans="1:8" x14ac:dyDescent="0.2">
      <c r="A19" t="s">
        <v>12</v>
      </c>
      <c r="B19" t="s">
        <v>80</v>
      </c>
      <c r="C19">
        <v>0.5</v>
      </c>
      <c r="D19" t="s">
        <v>81</v>
      </c>
      <c r="E19">
        <v>0.15</v>
      </c>
      <c r="F19">
        <f t="shared" si="6"/>
        <v>0.2</v>
      </c>
      <c r="G19">
        <f t="shared" si="7"/>
        <v>0.8</v>
      </c>
      <c r="H19">
        <v>1</v>
      </c>
    </row>
    <row r="20" spans="1:8" x14ac:dyDescent="0.2">
      <c r="A20" t="s">
        <v>13</v>
      </c>
      <c r="B20" t="s">
        <v>80</v>
      </c>
      <c r="C20">
        <v>0</v>
      </c>
      <c r="D20" t="s">
        <v>81</v>
      </c>
      <c r="E20">
        <v>0</v>
      </c>
      <c r="F20">
        <f t="shared" si="6"/>
        <v>0</v>
      </c>
      <c r="G20">
        <f t="shared" si="7"/>
        <v>0</v>
      </c>
      <c r="H20">
        <v>0</v>
      </c>
    </row>
    <row r="21" spans="1:8" x14ac:dyDescent="0.2">
      <c r="A21" t="s">
        <v>14</v>
      </c>
      <c r="B21" t="s">
        <v>80</v>
      </c>
      <c r="C21">
        <v>0</v>
      </c>
      <c r="D21" t="s">
        <v>81</v>
      </c>
      <c r="E21">
        <v>0</v>
      </c>
      <c r="F21">
        <f t="shared" si="6"/>
        <v>0</v>
      </c>
      <c r="G21">
        <f t="shared" si="7"/>
        <v>0</v>
      </c>
      <c r="H21">
        <v>0</v>
      </c>
    </row>
    <row r="23" spans="1:8" x14ac:dyDescent="0.2">
      <c r="A23" t="s">
        <v>16</v>
      </c>
      <c r="B23" t="s">
        <v>82</v>
      </c>
      <c r="C23">
        <v>0.5</v>
      </c>
      <c r="D23" t="s">
        <v>81</v>
      </c>
      <c r="E23">
        <v>0.25</v>
      </c>
      <c r="F23">
        <f>C23-2*E23</f>
        <v>0</v>
      </c>
      <c r="G23">
        <v>1</v>
      </c>
      <c r="H23">
        <v>1</v>
      </c>
    </row>
    <row r="25" spans="1:8" x14ac:dyDescent="0.2">
      <c r="A25" t="s">
        <v>48</v>
      </c>
      <c r="B25" t="s">
        <v>83</v>
      </c>
      <c r="C25">
        <v>1</v>
      </c>
      <c r="D25" t="s">
        <v>84</v>
      </c>
      <c r="E25">
        <v>0.1</v>
      </c>
      <c r="F25">
        <f>C25-2*E25</f>
        <v>0.8</v>
      </c>
      <c r="G25">
        <f>C25+2*E25</f>
        <v>1.2</v>
      </c>
      <c r="H25">
        <v>1</v>
      </c>
    </row>
    <row r="26" spans="1:8" x14ac:dyDescent="0.2">
      <c r="A26" t="s">
        <v>54</v>
      </c>
      <c r="B26" t="s">
        <v>83</v>
      </c>
      <c r="C26">
        <v>1</v>
      </c>
      <c r="D26" t="s">
        <v>84</v>
      </c>
      <c r="E26">
        <v>0.1</v>
      </c>
      <c r="F26">
        <f t="shared" ref="F26:F40" si="8">C26-2*E26</f>
        <v>0.8</v>
      </c>
      <c r="G26">
        <f t="shared" ref="G26:G40" si="9">C26+2*E26</f>
        <v>1.2</v>
      </c>
      <c r="H26">
        <v>1</v>
      </c>
    </row>
    <row r="27" spans="1:8" x14ac:dyDescent="0.2">
      <c r="A27" t="s">
        <v>58</v>
      </c>
      <c r="B27" t="s">
        <v>83</v>
      </c>
      <c r="C27">
        <v>1</v>
      </c>
      <c r="D27" t="s">
        <v>84</v>
      </c>
      <c r="E27">
        <v>0.1</v>
      </c>
      <c r="F27">
        <f t="shared" si="8"/>
        <v>0.8</v>
      </c>
      <c r="G27">
        <f t="shared" si="9"/>
        <v>1.2</v>
      </c>
      <c r="H27">
        <v>1</v>
      </c>
    </row>
    <row r="28" spans="1:8" x14ac:dyDescent="0.2">
      <c r="A28" t="s">
        <v>59</v>
      </c>
      <c r="B28" t="s">
        <v>83</v>
      </c>
      <c r="C28">
        <v>1</v>
      </c>
      <c r="D28" t="s">
        <v>84</v>
      </c>
      <c r="E28">
        <v>0.1</v>
      </c>
      <c r="F28">
        <f t="shared" si="8"/>
        <v>0.8</v>
      </c>
      <c r="G28">
        <f t="shared" si="9"/>
        <v>1.2</v>
      </c>
      <c r="H28">
        <v>1</v>
      </c>
    </row>
    <row r="29" spans="1:8" x14ac:dyDescent="0.2">
      <c r="A29" t="s">
        <v>52</v>
      </c>
      <c r="B29" t="s">
        <v>83</v>
      </c>
      <c r="C29">
        <v>1</v>
      </c>
      <c r="D29" t="s">
        <v>84</v>
      </c>
      <c r="E29">
        <v>0.1</v>
      </c>
      <c r="F29">
        <f t="shared" si="8"/>
        <v>0.8</v>
      </c>
      <c r="G29">
        <f t="shared" si="9"/>
        <v>1.2</v>
      </c>
      <c r="H29">
        <v>1</v>
      </c>
    </row>
    <row r="30" spans="1:8" x14ac:dyDescent="0.2">
      <c r="A30" t="s">
        <v>88</v>
      </c>
      <c r="B30" t="s">
        <v>83</v>
      </c>
      <c r="C30">
        <v>1</v>
      </c>
      <c r="D30" t="s">
        <v>84</v>
      </c>
      <c r="E30">
        <v>0.1</v>
      </c>
      <c r="F30">
        <f t="shared" si="8"/>
        <v>0.8</v>
      </c>
      <c r="G30">
        <f t="shared" si="9"/>
        <v>1.2</v>
      </c>
      <c r="H30">
        <v>1</v>
      </c>
    </row>
    <row r="31" spans="1:8" x14ac:dyDescent="0.2">
      <c r="A31" t="s">
        <v>15</v>
      </c>
      <c r="B31" t="s">
        <v>83</v>
      </c>
      <c r="C31">
        <v>1</v>
      </c>
      <c r="D31" t="s">
        <v>84</v>
      </c>
      <c r="E31">
        <v>0.1</v>
      </c>
      <c r="F31">
        <f t="shared" si="8"/>
        <v>0.8</v>
      </c>
      <c r="G31">
        <f t="shared" si="9"/>
        <v>1.2</v>
      </c>
      <c r="H31">
        <v>1</v>
      </c>
    </row>
    <row r="33" spans="1:8" x14ac:dyDescent="0.2">
      <c r="A33" t="s">
        <v>89</v>
      </c>
      <c r="B33" t="s">
        <v>105</v>
      </c>
      <c r="C33">
        <v>1</v>
      </c>
      <c r="D33" t="s">
        <v>79</v>
      </c>
      <c r="E33">
        <v>0.1</v>
      </c>
      <c r="F33">
        <f t="shared" si="8"/>
        <v>0.8</v>
      </c>
      <c r="G33">
        <f t="shared" si="9"/>
        <v>1.2</v>
      </c>
      <c r="H33">
        <v>1</v>
      </c>
    </row>
    <row r="34" spans="1:8" x14ac:dyDescent="0.2">
      <c r="A34" t="s">
        <v>91</v>
      </c>
      <c r="B34" t="s">
        <v>105</v>
      </c>
      <c r="C34">
        <v>1</v>
      </c>
      <c r="D34" t="s">
        <v>79</v>
      </c>
      <c r="E34">
        <v>0.1</v>
      </c>
      <c r="F34">
        <f t="shared" si="8"/>
        <v>0.8</v>
      </c>
      <c r="G34">
        <f t="shared" si="9"/>
        <v>1.2</v>
      </c>
      <c r="H34">
        <v>1</v>
      </c>
    </row>
    <row r="35" spans="1:8" x14ac:dyDescent="0.2">
      <c r="A35" t="s">
        <v>92</v>
      </c>
      <c r="B35" t="s">
        <v>105</v>
      </c>
      <c r="C35">
        <v>1</v>
      </c>
      <c r="D35" t="s">
        <v>79</v>
      </c>
      <c r="E35">
        <v>0.1</v>
      </c>
      <c r="F35">
        <f t="shared" si="8"/>
        <v>0.8</v>
      </c>
      <c r="G35">
        <f t="shared" si="9"/>
        <v>1.2</v>
      </c>
      <c r="H35">
        <v>1</v>
      </c>
    </row>
    <row r="36" spans="1:8" x14ac:dyDescent="0.2">
      <c r="A36" t="s">
        <v>4</v>
      </c>
      <c r="B36" t="s">
        <v>105</v>
      </c>
      <c r="C36">
        <v>1</v>
      </c>
      <c r="D36" t="s">
        <v>79</v>
      </c>
      <c r="E36">
        <v>0.1</v>
      </c>
      <c r="F36">
        <f t="shared" si="8"/>
        <v>0.8</v>
      </c>
      <c r="G36">
        <f t="shared" si="9"/>
        <v>1.2</v>
      </c>
      <c r="H36">
        <v>1</v>
      </c>
    </row>
    <row r="37" spans="1:8" x14ac:dyDescent="0.2">
      <c r="A37" t="s">
        <v>5</v>
      </c>
      <c r="B37" t="s">
        <v>105</v>
      </c>
      <c r="C37">
        <v>1</v>
      </c>
      <c r="D37" t="s">
        <v>79</v>
      </c>
      <c r="E37">
        <v>0.1</v>
      </c>
      <c r="F37">
        <f t="shared" si="8"/>
        <v>0.8</v>
      </c>
      <c r="G37">
        <f t="shared" si="9"/>
        <v>1.2</v>
      </c>
      <c r="H37">
        <v>1</v>
      </c>
    </row>
    <row r="38" spans="1:8" x14ac:dyDescent="0.2">
      <c r="A38" t="s">
        <v>6</v>
      </c>
      <c r="B38" t="s">
        <v>105</v>
      </c>
      <c r="C38">
        <v>1</v>
      </c>
      <c r="D38" t="s">
        <v>79</v>
      </c>
      <c r="E38">
        <v>0.1</v>
      </c>
      <c r="F38">
        <f t="shared" si="8"/>
        <v>0.8</v>
      </c>
      <c r="G38">
        <f t="shared" si="9"/>
        <v>1.2</v>
      </c>
      <c r="H38">
        <v>1</v>
      </c>
    </row>
    <row r="40" spans="1:8" x14ac:dyDescent="0.2">
      <c r="A40" t="s">
        <v>67</v>
      </c>
      <c r="B40" t="s">
        <v>107</v>
      </c>
      <c r="C40">
        <v>1</v>
      </c>
      <c r="D40" t="s">
        <v>84</v>
      </c>
      <c r="E40">
        <v>0.2</v>
      </c>
      <c r="F40">
        <f t="shared" si="8"/>
        <v>0.6</v>
      </c>
      <c r="G40">
        <f t="shared" si="9"/>
        <v>1.4</v>
      </c>
      <c r="H40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5"/>
  <sheetViews>
    <sheetView workbookViewId="0">
      <selection activeCell="F38" sqref="F38"/>
    </sheetView>
  </sheetViews>
  <sheetFormatPr baseColWidth="10" defaultColWidth="8.83203125" defaultRowHeight="15" x14ac:dyDescent="0.2"/>
  <cols>
    <col min="1" max="1" width="24" customWidth="1"/>
    <col min="2" max="4" width="14" customWidth="1"/>
    <col min="5" max="5" width="30" customWidth="1"/>
    <col min="6" max="6" width="60" style="8" customWidth="1"/>
    <col min="7" max="7" width="60" style="13" customWidth="1"/>
    <col min="9" max="9" width="10" bestFit="1" customWidth="1"/>
    <col min="10" max="10" width="11.6640625" style="8" bestFit="1" customWidth="1"/>
  </cols>
  <sheetData>
    <row r="1" spans="1:11" x14ac:dyDescent="0.2">
      <c r="A1" s="1" t="s">
        <v>70</v>
      </c>
      <c r="B1" s="1" t="s">
        <v>71</v>
      </c>
      <c r="C1" s="1" t="s">
        <v>46</v>
      </c>
      <c r="F1" s="6" t="s">
        <v>108</v>
      </c>
      <c r="G1" s="9"/>
      <c r="H1" s="1" t="s">
        <v>109</v>
      </c>
    </row>
    <row r="2" spans="1:11" x14ac:dyDescent="0.2">
      <c r="A2">
        <v>60</v>
      </c>
      <c r="B2" s="8">
        <f t="shared" ref="B2:B40" si="0">(F2*G2+H2*I2)/(G2+I2)</f>
        <v>4.4400961227578509E-3</v>
      </c>
      <c r="C2" t="s">
        <v>110</v>
      </c>
      <c r="F2" s="7">
        <v>5.0712783645605608E-3</v>
      </c>
      <c r="G2" s="10">
        <v>126000</v>
      </c>
      <c r="H2" s="3">
        <v>3.8038644230207197E-3</v>
      </c>
      <c r="I2" s="5">
        <v>125000</v>
      </c>
      <c r="K2" t="b">
        <f>ISNUMBER(G3)</f>
        <v>1</v>
      </c>
    </row>
    <row r="3" spans="1:11" x14ac:dyDescent="0.2">
      <c r="A3">
        <v>61</v>
      </c>
      <c r="B3" s="8">
        <f t="shared" si="0"/>
        <v>4.8175049312387808E-3</v>
      </c>
      <c r="F3" s="7">
        <v>5.4967460315969996E-3</v>
      </c>
      <c r="G3" s="10">
        <v>127000</v>
      </c>
      <c r="H3" s="3">
        <v>4.1382638308805619E-3</v>
      </c>
      <c r="I3" s="5">
        <v>127000</v>
      </c>
    </row>
    <row r="4" spans="1:11" x14ac:dyDescent="0.2">
      <c r="A4">
        <v>62</v>
      </c>
      <c r="B4" s="8">
        <f t="shared" si="0"/>
        <v>5.3983384420053793E-3</v>
      </c>
      <c r="F4" s="7">
        <v>6.2397364279468404E-3</v>
      </c>
      <c r="G4" s="10">
        <v>124000</v>
      </c>
      <c r="H4" s="3">
        <v>4.5569404560639182E-3</v>
      </c>
      <c r="I4" s="5">
        <v>124000</v>
      </c>
    </row>
    <row r="5" spans="1:11" x14ac:dyDescent="0.2">
      <c r="A5">
        <v>63</v>
      </c>
      <c r="B5" s="8">
        <f t="shared" si="0"/>
        <v>5.7744727029867904E-3</v>
      </c>
      <c r="F5" s="7">
        <v>6.6712287417072247E-3</v>
      </c>
      <c r="G5" s="10">
        <v>120000</v>
      </c>
      <c r="H5" s="3">
        <v>4.8924175829339056E-3</v>
      </c>
      <c r="I5" s="5">
        <v>122000</v>
      </c>
    </row>
    <row r="6" spans="1:11" x14ac:dyDescent="0.2">
      <c r="A6">
        <v>64</v>
      </c>
      <c r="B6" s="8">
        <f t="shared" si="0"/>
        <v>6.4076585801683466E-3</v>
      </c>
      <c r="F6" s="7">
        <v>7.4482011832754935E-3</v>
      </c>
      <c r="G6" s="10">
        <v>118000</v>
      </c>
      <c r="H6" s="3">
        <v>5.3844583537796531E-3</v>
      </c>
      <c r="I6" s="5">
        <v>120000</v>
      </c>
    </row>
    <row r="7" spans="1:11" x14ac:dyDescent="0.2">
      <c r="A7">
        <v>65</v>
      </c>
      <c r="B7" s="8">
        <f t="shared" si="0"/>
        <v>7.0774324516559755E-3</v>
      </c>
      <c r="F7" s="7">
        <v>8.2440084903091515E-3</v>
      </c>
      <c r="G7" s="10">
        <v>114000</v>
      </c>
      <c r="H7" s="3">
        <v>5.930969792979579E-3</v>
      </c>
      <c r="I7" s="5">
        <v>116000</v>
      </c>
    </row>
    <row r="8" spans="1:11" x14ac:dyDescent="0.2">
      <c r="A8">
        <v>66</v>
      </c>
      <c r="B8" s="8">
        <f t="shared" si="0"/>
        <v>7.6705217591277281E-3</v>
      </c>
      <c r="F8" s="7">
        <v>9.0578037296487057E-3</v>
      </c>
      <c r="G8" s="10">
        <v>111000</v>
      </c>
      <c r="H8" s="3">
        <v>6.3197472088836193E-3</v>
      </c>
      <c r="I8" s="5">
        <v>114000</v>
      </c>
    </row>
    <row r="9" spans="1:11" x14ac:dyDescent="0.2">
      <c r="A9">
        <v>67</v>
      </c>
      <c r="B9" s="8">
        <f t="shared" si="0"/>
        <v>8.4324596317747157E-3</v>
      </c>
      <c r="F9" s="7">
        <v>9.9555893546982022E-3</v>
      </c>
      <c r="G9" s="10">
        <v>107000</v>
      </c>
      <c r="H9" s="3">
        <v>6.9508698103855071E-3</v>
      </c>
      <c r="I9" s="5">
        <v>110000</v>
      </c>
    </row>
    <row r="10" spans="1:11" x14ac:dyDescent="0.2">
      <c r="A10">
        <v>68</v>
      </c>
      <c r="B10" s="8">
        <f t="shared" si="0"/>
        <v>9.199138653385586E-3</v>
      </c>
      <c r="F10" s="7">
        <v>1.0899961759056831E-2</v>
      </c>
      <c r="G10" s="10">
        <v>104000</v>
      </c>
      <c r="H10" s="3">
        <v>7.5460021768453123E-3</v>
      </c>
      <c r="I10" s="5">
        <v>107000</v>
      </c>
    </row>
    <row r="11" spans="1:11" x14ac:dyDescent="0.2">
      <c r="A11">
        <v>69</v>
      </c>
      <c r="B11" s="8">
        <f t="shared" si="0"/>
        <v>1.0154039844489071E-2</v>
      </c>
      <c r="F11" s="7">
        <v>1.2098991908210954E-2</v>
      </c>
      <c r="G11" s="10">
        <v>100000</v>
      </c>
      <c r="H11" s="3">
        <v>8.2838936293718746E-3</v>
      </c>
      <c r="I11" s="5">
        <v>104000</v>
      </c>
    </row>
    <row r="12" spans="1:11" x14ac:dyDescent="0.2">
      <c r="A12">
        <v>70</v>
      </c>
      <c r="B12" s="8">
        <f t="shared" si="0"/>
        <v>1.1184445572535544E-2</v>
      </c>
      <c r="F12" s="7">
        <v>1.3320745329765238E-2</v>
      </c>
      <c r="G12" s="10">
        <v>96000</v>
      </c>
      <c r="H12" s="3">
        <v>9.1539032290300915E-3</v>
      </c>
      <c r="I12" s="5">
        <v>101000</v>
      </c>
    </row>
    <row r="13" spans="1:11" x14ac:dyDescent="0.2">
      <c r="A13">
        <v>71</v>
      </c>
      <c r="B13" s="8">
        <f t="shared" si="0"/>
        <v>1.2409552747153635E-2</v>
      </c>
      <c r="F13" s="7">
        <v>1.4756635343399882E-2</v>
      </c>
      <c r="G13" s="10">
        <v>94000</v>
      </c>
      <c r="H13" s="3">
        <v>1.0158269440550094E-2</v>
      </c>
      <c r="I13" s="5">
        <v>98000</v>
      </c>
    </row>
    <row r="14" spans="1:11" x14ac:dyDescent="0.2">
      <c r="A14">
        <v>72</v>
      </c>
      <c r="B14" s="8">
        <f t="shared" si="0"/>
        <v>1.3459305310363746E-2</v>
      </c>
      <c r="F14" s="7">
        <v>1.6220451272168757E-2</v>
      </c>
      <c r="G14" s="10">
        <v>91000</v>
      </c>
      <c r="H14" s="3">
        <v>1.0814418125897896E-2</v>
      </c>
      <c r="I14" s="5">
        <v>95000</v>
      </c>
    </row>
    <row r="15" spans="1:11" x14ac:dyDescent="0.2">
      <c r="A15">
        <v>73</v>
      </c>
      <c r="B15" s="8">
        <f t="shared" si="0"/>
        <v>1.490786415880492E-2</v>
      </c>
      <c r="F15" s="7">
        <v>1.807193980584465E-2</v>
      </c>
      <c r="G15" s="10">
        <v>89000</v>
      </c>
      <c r="H15" s="3">
        <v>1.1912090407884324E-2</v>
      </c>
      <c r="I15" s="5">
        <v>94000</v>
      </c>
    </row>
    <row r="16" spans="1:11" x14ac:dyDescent="0.2">
      <c r="A16">
        <v>74</v>
      </c>
      <c r="B16" s="8">
        <f t="shared" si="0"/>
        <v>1.6384571323370872E-2</v>
      </c>
      <c r="F16" s="7">
        <v>1.9949529989544135E-2</v>
      </c>
      <c r="G16" s="10">
        <v>84000</v>
      </c>
      <c r="H16" s="3">
        <v>1.3057276568275822E-2</v>
      </c>
      <c r="I16" s="5">
        <v>90000</v>
      </c>
    </row>
    <row r="17" spans="1:9" x14ac:dyDescent="0.2">
      <c r="A17">
        <v>75</v>
      </c>
      <c r="B17" s="8">
        <f t="shared" si="0"/>
        <v>1.8275009627844997E-2</v>
      </c>
      <c r="F17" s="7">
        <v>2.2221375459256953E-2</v>
      </c>
      <c r="G17" s="10">
        <v>83000</v>
      </c>
      <c r="H17" s="3">
        <v>1.4594690931134968E-2</v>
      </c>
      <c r="I17" s="5">
        <v>89000</v>
      </c>
    </row>
    <row r="18" spans="1:9" x14ac:dyDescent="0.2">
      <c r="A18">
        <v>76</v>
      </c>
      <c r="B18" s="8">
        <f t="shared" si="0"/>
        <v>2.0428328933334666E-2</v>
      </c>
      <c r="F18" s="7">
        <v>2.5201567879696074E-2</v>
      </c>
      <c r="G18" s="10">
        <v>81000</v>
      </c>
      <c r="H18" s="3">
        <v>1.6034779448615644E-2</v>
      </c>
      <c r="I18" s="5">
        <v>88000</v>
      </c>
    </row>
    <row r="19" spans="1:9" x14ac:dyDescent="0.2">
      <c r="A19">
        <v>77</v>
      </c>
      <c r="B19" s="8">
        <f t="shared" si="0"/>
        <v>2.2678895169241688E-2</v>
      </c>
      <c r="F19" s="7">
        <v>2.7720841669201635E-2</v>
      </c>
      <c r="G19" s="10">
        <v>81000</v>
      </c>
      <c r="H19" s="3">
        <v>1.8090157343435442E-2</v>
      </c>
      <c r="I19" s="5">
        <v>89000</v>
      </c>
    </row>
    <row r="20" spans="1:9" x14ac:dyDescent="0.2">
      <c r="A20">
        <v>78</v>
      </c>
      <c r="B20" s="8">
        <f t="shared" si="0"/>
        <v>2.5485554036586047E-2</v>
      </c>
      <c r="F20" s="7">
        <v>3.1430698840551274E-2</v>
      </c>
      <c r="G20" s="10">
        <v>82000</v>
      </c>
      <c r="H20" s="3">
        <v>2.0186620624356166E-2</v>
      </c>
      <c r="I20" s="5">
        <v>92000</v>
      </c>
    </row>
    <row r="21" spans="1:9" x14ac:dyDescent="0.2">
      <c r="A21">
        <v>79</v>
      </c>
      <c r="B21" s="8">
        <f t="shared" si="0"/>
        <v>2.8638162788608524E-2</v>
      </c>
      <c r="F21" s="7">
        <v>3.5222786303865994E-2</v>
      </c>
      <c r="G21" s="10">
        <v>81000</v>
      </c>
      <c r="H21" s="3">
        <v>2.284083121539271E-2</v>
      </c>
      <c r="I21" s="5">
        <v>92000</v>
      </c>
    </row>
    <row r="22" spans="1:9" x14ac:dyDescent="0.2">
      <c r="A22">
        <v>80</v>
      </c>
      <c r="B22" s="8">
        <f t="shared" si="0"/>
        <v>3.2293865473532093E-2</v>
      </c>
      <c r="F22" s="7">
        <v>3.97305199030491E-2</v>
      </c>
      <c r="G22" s="10">
        <v>55000</v>
      </c>
      <c r="H22" s="3">
        <v>2.5902990573165918E-2</v>
      </c>
      <c r="I22" s="5">
        <v>64000</v>
      </c>
    </row>
    <row r="23" spans="1:9" x14ac:dyDescent="0.2">
      <c r="A23">
        <v>81</v>
      </c>
      <c r="B23" s="8">
        <f t="shared" si="0"/>
        <v>3.6307547058256492E-2</v>
      </c>
      <c r="F23" s="7">
        <v>4.479703003647606E-2</v>
      </c>
      <c r="G23" s="10">
        <v>54000</v>
      </c>
      <c r="H23" s="3">
        <v>2.9144545795383725E-2</v>
      </c>
      <c r="I23" s="5">
        <v>64000</v>
      </c>
    </row>
    <row r="24" spans="1:9" x14ac:dyDescent="0.2">
      <c r="A24">
        <v>82</v>
      </c>
      <c r="B24" s="8">
        <f t="shared" si="0"/>
        <v>4.1542976618192951E-2</v>
      </c>
      <c r="F24" s="7">
        <v>5.0689905469917584E-2</v>
      </c>
      <c r="G24" s="10">
        <v>48000</v>
      </c>
      <c r="H24" s="3">
        <v>3.3973104465041537E-2</v>
      </c>
      <c r="I24" s="5">
        <v>58000</v>
      </c>
    </row>
    <row r="25" spans="1:9" x14ac:dyDescent="0.2">
      <c r="A25">
        <v>83</v>
      </c>
      <c r="B25" s="8">
        <f t="shared" si="0"/>
        <v>4.6755147434809213E-2</v>
      </c>
      <c r="F25" s="7">
        <v>5.7423567091547612E-2</v>
      </c>
      <c r="G25" s="10">
        <v>41000</v>
      </c>
      <c r="H25" s="3">
        <v>3.8343508859303932E-2</v>
      </c>
      <c r="I25" s="5">
        <v>52000</v>
      </c>
    </row>
    <row r="26" spans="1:9" x14ac:dyDescent="0.2">
      <c r="A26">
        <v>84</v>
      </c>
      <c r="B26" s="8">
        <f t="shared" si="0"/>
        <v>5.3517120223231095E-2</v>
      </c>
      <c r="F26" s="7">
        <v>6.4716650151388166E-2</v>
      </c>
      <c r="G26" s="10">
        <v>36000</v>
      </c>
      <c r="H26" s="3">
        <v>4.4752270714238596E-2</v>
      </c>
      <c r="I26" s="5">
        <v>46000</v>
      </c>
    </row>
    <row r="27" spans="1:9" x14ac:dyDescent="0.2">
      <c r="A27">
        <v>85</v>
      </c>
      <c r="B27" s="8">
        <f t="shared" si="0"/>
        <v>6.0641554488010792E-2</v>
      </c>
      <c r="F27" s="7">
        <v>7.3236759715641364E-2</v>
      </c>
      <c r="G27" s="10">
        <v>33000</v>
      </c>
      <c r="H27" s="3">
        <v>5.119515056728785E-2</v>
      </c>
      <c r="I27" s="5">
        <v>44000</v>
      </c>
    </row>
    <row r="28" spans="1:9" x14ac:dyDescent="0.2">
      <c r="A28">
        <v>86</v>
      </c>
      <c r="B28" s="8">
        <f t="shared" si="0"/>
        <v>6.8427522319551071E-2</v>
      </c>
      <c r="F28" s="7">
        <v>8.2886718543431548E-2</v>
      </c>
      <c r="G28" s="10">
        <v>28000</v>
      </c>
      <c r="H28" s="3">
        <v>5.8306084962834737E-2</v>
      </c>
      <c r="I28" s="5">
        <v>40000</v>
      </c>
    </row>
    <row r="29" spans="1:9" x14ac:dyDescent="0.2">
      <c r="A29">
        <v>87</v>
      </c>
      <c r="B29" s="8">
        <f t="shared" si="0"/>
        <v>7.8579824940486806E-2</v>
      </c>
      <c r="F29" s="7">
        <v>9.3646698788858007E-2</v>
      </c>
      <c r="G29" s="10">
        <v>25000</v>
      </c>
      <c r="H29" s="3">
        <v>6.8116718101340124E-2</v>
      </c>
      <c r="I29" s="5">
        <v>36000</v>
      </c>
    </row>
    <row r="30" spans="1:9" x14ac:dyDescent="0.2">
      <c r="A30">
        <v>88</v>
      </c>
      <c r="B30" s="8">
        <f t="shared" si="0"/>
        <v>8.9688432646965063E-2</v>
      </c>
      <c r="F30" s="7">
        <v>0.10628203649142054</v>
      </c>
      <c r="G30" s="10">
        <v>19000</v>
      </c>
      <c r="H30" s="3">
        <v>7.9179150212143279E-2</v>
      </c>
      <c r="I30" s="5">
        <v>30000</v>
      </c>
    </row>
    <row r="31" spans="1:9" x14ac:dyDescent="0.2">
      <c r="A31">
        <v>89</v>
      </c>
      <c r="B31" s="8">
        <f t="shared" si="0"/>
        <v>0.1021665976610034</v>
      </c>
      <c r="F31" s="7">
        <v>0.11954281437313685</v>
      </c>
      <c r="G31" s="10">
        <v>16000</v>
      </c>
      <c r="H31" s="3">
        <v>9.1473541222767407E-2</v>
      </c>
      <c r="I31" s="5">
        <v>26000</v>
      </c>
    </row>
    <row r="32" spans="1:9" x14ac:dyDescent="0.2">
      <c r="A32">
        <v>90</v>
      </c>
      <c r="B32" s="8">
        <f t="shared" si="0"/>
        <v>0.11663315934001442</v>
      </c>
      <c r="F32" s="7">
        <v>0.13564354545918456</v>
      </c>
      <c r="G32" s="10">
        <v>13000</v>
      </c>
      <c r="H32" s="3">
        <v>0.10539974936050478</v>
      </c>
      <c r="I32" s="5">
        <v>22000</v>
      </c>
    </row>
    <row r="33" spans="1:9" x14ac:dyDescent="0.2">
      <c r="A33">
        <v>91</v>
      </c>
      <c r="B33" s="8">
        <f t="shared" si="0"/>
        <v>0.13202826668083725</v>
      </c>
      <c r="F33" s="7">
        <v>0.15322212434249294</v>
      </c>
      <c r="G33" s="10">
        <v>10000</v>
      </c>
      <c r="H33" s="3">
        <v>0.12025390131325076</v>
      </c>
      <c r="I33" s="5">
        <v>18000</v>
      </c>
    </row>
    <row r="34" spans="1:9" x14ac:dyDescent="0.2">
      <c r="A34">
        <v>92</v>
      </c>
      <c r="B34" s="8">
        <f t="shared" si="0"/>
        <v>0.15002174446211558</v>
      </c>
      <c r="F34" s="7">
        <v>0.17188588130402238</v>
      </c>
      <c r="G34" s="10">
        <v>7000</v>
      </c>
      <c r="H34" s="3">
        <v>0.13981848060255908</v>
      </c>
      <c r="I34" s="5">
        <v>15000</v>
      </c>
    </row>
    <row r="35" spans="1:9" x14ac:dyDescent="0.2">
      <c r="A35">
        <v>93</v>
      </c>
      <c r="B35" s="8">
        <f t="shared" si="0"/>
        <v>0.16534291869190093</v>
      </c>
      <c r="F35" s="7">
        <v>0.18829403485984963</v>
      </c>
      <c r="G35" s="10">
        <v>5000</v>
      </c>
      <c r="H35" s="3">
        <v>0.15577995362192232</v>
      </c>
      <c r="I35" s="5">
        <v>12000</v>
      </c>
    </row>
    <row r="36" spans="1:9" x14ac:dyDescent="0.2">
      <c r="A36">
        <v>94</v>
      </c>
      <c r="B36" s="8">
        <f t="shared" si="0"/>
        <v>0.18548537062216142</v>
      </c>
      <c r="F36" s="7">
        <v>0.2077869687877465</v>
      </c>
      <c r="G36" s="10">
        <v>4000</v>
      </c>
      <c r="H36" s="3">
        <v>0.17557354921523471</v>
      </c>
      <c r="I36" s="5">
        <v>9000</v>
      </c>
    </row>
    <row r="37" spans="1:9" x14ac:dyDescent="0.2">
      <c r="A37">
        <v>95</v>
      </c>
      <c r="B37" s="8">
        <f t="shared" si="0"/>
        <v>0.20628078340475736</v>
      </c>
      <c r="F37" s="7">
        <v>0.22828774640543237</v>
      </c>
      <c r="G37" s="10">
        <v>3000</v>
      </c>
      <c r="H37" s="3">
        <v>0.19684922783303949</v>
      </c>
      <c r="I37" s="5">
        <v>7000</v>
      </c>
    </row>
    <row r="38" spans="1:9" x14ac:dyDescent="0.2">
      <c r="A38">
        <v>96</v>
      </c>
      <c r="B38" s="8">
        <f t="shared" si="0"/>
        <v>0.22809999810290932</v>
      </c>
      <c r="F38" s="7">
        <v>0.24965836767278871</v>
      </c>
      <c r="G38" s="10">
        <v>2000</v>
      </c>
      <c r="H38" s="3">
        <v>0.21947665027495755</v>
      </c>
      <c r="I38" s="5">
        <v>5000</v>
      </c>
    </row>
    <row r="39" spans="1:9" x14ac:dyDescent="0.2">
      <c r="A39">
        <v>97</v>
      </c>
      <c r="B39" s="8">
        <f t="shared" si="0"/>
        <v>0.25038614092028777</v>
      </c>
      <c r="F39" s="7">
        <v>0.27173027348531886</v>
      </c>
      <c r="G39" s="10">
        <v>1000</v>
      </c>
      <c r="H39" s="3">
        <v>0.24327143006527741</v>
      </c>
      <c r="I39" s="5">
        <v>3000</v>
      </c>
    </row>
    <row r="40" spans="1:9" x14ac:dyDescent="0.2">
      <c r="A40">
        <v>98</v>
      </c>
      <c r="B40" s="8">
        <f t="shared" si="0"/>
        <v>0.27676812034647452</v>
      </c>
      <c r="F40" s="7">
        <v>0.29430848053183511</v>
      </c>
      <c r="G40" s="10">
        <v>1000</v>
      </c>
      <c r="H40" s="3">
        <v>0.2679979402537942</v>
      </c>
      <c r="I40" s="5">
        <v>2000</v>
      </c>
    </row>
    <row r="41" spans="1:9" x14ac:dyDescent="0.2">
      <c r="A41">
        <v>99</v>
      </c>
      <c r="B41" s="8">
        <f t="shared" ref="B41:B42" si="1">(F41*G41+H41*I41)/(G41+I41)</f>
        <v>0.29337656384548227</v>
      </c>
      <c r="F41" s="7">
        <v>0.31717772599402105</v>
      </c>
      <c r="G41" s="11">
        <v>0</v>
      </c>
      <c r="H41" s="3">
        <v>0.29337656384548227</v>
      </c>
      <c r="I41" s="5">
        <v>1000</v>
      </c>
    </row>
    <row r="42" spans="1:9" x14ac:dyDescent="0.2">
      <c r="A42">
        <v>100</v>
      </c>
      <c r="B42" s="8">
        <f t="shared" si="1"/>
        <v>0.31909521931897156</v>
      </c>
      <c r="F42" s="7">
        <v>0.34011028635739216</v>
      </c>
      <c r="G42" s="11">
        <v>0</v>
      </c>
      <c r="H42" s="3">
        <v>0.31909521931897156</v>
      </c>
      <c r="I42" s="4">
        <v>1000</v>
      </c>
    </row>
    <row r="43" spans="1:9" x14ac:dyDescent="0.2">
      <c r="A43">
        <v>101</v>
      </c>
      <c r="B43" s="8"/>
      <c r="F43" s="7">
        <v>0.36287490632569419</v>
      </c>
      <c r="G43" s="11"/>
      <c r="H43" s="3">
        <v>0.34482432413626563</v>
      </c>
    </row>
    <row r="44" spans="1:9" x14ac:dyDescent="0.2">
      <c r="A44">
        <v>102</v>
      </c>
      <c r="B44" s="8"/>
      <c r="F44" s="7">
        <v>0.38524610776509272</v>
      </c>
      <c r="G44" s="11"/>
      <c r="H44" s="3">
        <v>0.37023375434115513</v>
      </c>
    </row>
    <row r="45" spans="1:9" x14ac:dyDescent="0.2">
      <c r="A45">
        <v>103</v>
      </c>
      <c r="B45" s="8"/>
      <c r="F45" s="7">
        <v>0.40701308132621405</v>
      </c>
      <c r="G45" s="11"/>
      <c r="H45" s="3">
        <v>0.39500997173516583</v>
      </c>
    </row>
    <row r="46" spans="1:9" x14ac:dyDescent="0.2">
      <c r="A46">
        <v>104</v>
      </c>
      <c r="B46" s="8"/>
      <c r="F46" s="7">
        <v>0.42798741212088676</v>
      </c>
      <c r="G46" s="11"/>
      <c r="H46" s="3">
        <v>0.41887143231469404</v>
      </c>
    </row>
    <row r="47" spans="1:9" x14ac:dyDescent="0.2">
      <c r="A47">
        <v>105</v>
      </c>
      <c r="B47" s="8"/>
      <c r="F47" s="7">
        <v>0.44800904753303672</v>
      </c>
      <c r="G47" s="11"/>
      <c r="H47" s="3">
        <v>0.4415806845609872</v>
      </c>
    </row>
    <row r="48" spans="1:9" x14ac:dyDescent="0.2">
      <c r="F48" s="7">
        <v>0.46695014830245207</v>
      </c>
      <c r="G48" s="11"/>
      <c r="H48" s="3">
        <v>0.46295213892104292</v>
      </c>
    </row>
    <row r="49" spans="6:8" x14ac:dyDescent="0.2">
      <c r="F49" s="7">
        <v>0.48471672709735958</v>
      </c>
      <c r="G49" s="11"/>
      <c r="H49" s="3">
        <v>0.48285519281752687</v>
      </c>
    </row>
    <row r="50" spans="6:8" x14ac:dyDescent="0.2">
      <c r="F50" s="7">
        <v>0.50124822361511678</v>
      </c>
      <c r="G50" s="11"/>
      <c r="H50" s="3">
        <v>0.50121306093015194</v>
      </c>
    </row>
    <row r="51" spans="6:8" x14ac:dyDescent="0.2">
      <c r="F51" s="7">
        <v>0.51651535369404078</v>
      </c>
      <c r="G51" s="12"/>
    </row>
    <row r="52" spans="6:8" x14ac:dyDescent="0.2">
      <c r="F52" s="7">
        <v>0.53051668148206144</v>
      </c>
      <c r="G52" s="12"/>
    </row>
    <row r="53" spans="6:8" x14ac:dyDescent="0.2">
      <c r="F53" s="7">
        <v>0.54327439678893308</v>
      </c>
      <c r="G53" s="12"/>
    </row>
    <row r="54" spans="6:8" x14ac:dyDescent="0.2">
      <c r="F54" s="7">
        <v>0.55482974764780835</v>
      </c>
      <c r="G54" s="12"/>
    </row>
    <row r="55" spans="6:8" x14ac:dyDescent="0.2">
      <c r="F55" s="7">
        <v>0.56523850226767702</v>
      </c>
      <c r="G55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follow_up</vt:lpstr>
      <vt:lpstr>costs</vt:lpstr>
      <vt:lpstr>utilities</vt:lpstr>
      <vt:lpstr>event_probs</vt:lpstr>
      <vt:lpstr>time</vt:lpstr>
      <vt:lpstr>scenarios</vt:lpstr>
      <vt:lpstr>sensitivity_analysis</vt:lpstr>
      <vt:lpstr>life_table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Lichtenauer, Carlotta</cp:lastModifiedBy>
  <dcterms:created xsi:type="dcterms:W3CDTF">2026-07-10T18:43:36Z</dcterms:created>
  <dcterms:modified xsi:type="dcterms:W3CDTF">2026-09-18T13:56:45Z</dcterms:modified>
</cp:coreProperties>
</file>